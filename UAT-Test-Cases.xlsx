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ver &amp; Instructions" state="visible" r:id="rId4"/>
    <sheet sheetId="2" name="Admin Access &amp; Sessions" state="visible" r:id="rId5"/>
    <sheet sheetId="3" name="Mini-App Access &amp; Ads" state="visible" r:id="rId6"/>
    <sheet sheetId="4" name="Auctions" state="visible" r:id="rId7"/>
    <sheet sheetId="5" name="Bidding" state="visible" r:id="rId8"/>
    <sheet sheetId="6" name="Bid Confidentiality" state="visible" r:id="rId9"/>
    <sheet sheetId="7" name="Payments" state="visible" r:id="rId10"/>
    <sheet sheetId="8" name="Settlement &amp; Winners" state="visible" r:id="rId11"/>
    <sheet sheetId="9" name="Re-Auctions" state="visible" r:id="rId12"/>
    <sheet sheetId="10" name="Catalogue &amp; Content" state="visible" r:id="rId13"/>
    <sheet sheetId="11" name="Bidders" state="visible" r:id="rId14"/>
    <sheet sheetId="12" name="Approvals" state="visible" r:id="rId15"/>
    <sheet sheetId="13" name="Notifications" state="visible" r:id="rId16"/>
    <sheet sheetId="14" name="Users &amp; Access Control" state="visible" r:id="rId17"/>
    <sheet sheetId="15" name="Settings" state="visible" r:id="rId18"/>
    <sheet sheetId="16" name="Dashboard Reports &amp; Audit" state="visible" r:id="rId19"/>
    <sheet sheetId="17" name="Scheduled Tick" state="visible" r:id="rId20"/>
    <sheet sheetId="18" name="Summary" state="visible" r:id="rId21"/>
    <sheet sheetId="19" name="Defect Log" state="visible" r:id="rId22"/>
  </sheets>
  <calcPr calcId="171027"/>
</workbook>
</file>

<file path=xl/sharedStrings.xml><?xml version="1.0" encoding="utf-8"?>
<sst xmlns="http://schemas.openxmlformats.org/spreadsheetml/2006/main" count="5933" uniqueCount="1947">
  <si>
    <t>User Acceptance Testing — Test Cases</t>
  </si>
  <si>
    <t>GuessLow — Lowest Unique Bid Auction platform (mini-app + operations console)</t>
  </si>
  <si>
    <t>Document</t>
  </si>
  <si>
    <t>UAT Test Cases</t>
  </si>
  <si>
    <t>Application</t>
  </si>
  <si>
    <t>GuessLow ("Guess Low, Win Big") — super-app mini-app and admin console</t>
  </si>
  <si>
    <t>Winning rule</t>
  </si>
  <si>
    <t>The winner is the participant holding the lowest bid amount that nobody else submitted. The lowest bid does not automatically win — only the lowest unique one does.</t>
  </si>
  <si>
    <t>Modules in scope</t>
  </si>
  <si>
    <t>Admin Access &amp; Sessions, Mini-App Access &amp; Ads, Auctions, Bidding, Bid Confidentiality, Payments, Settlement &amp; Winners, Re-Auctions, Catalogue &amp; Content, Bidders, Approvals, Notifications, Users &amp; Access Control, Settings, Dashboard Reports &amp; Audit, Scheduled Tick</t>
  </si>
  <si>
    <t>Total test cases</t>
  </si>
  <si>
    <t>Environment</t>
  </si>
  <si>
    <t>UAT / Staging — to be completed</t>
  </si>
  <si>
    <t>Build / Version</t>
  </si>
  <si>
    <t>To be completed</t>
  </si>
  <si>
    <t>Prepared by</t>
  </si>
  <si>
    <t/>
  </si>
  <si>
    <t>Reviewed by</t>
  </si>
  <si>
    <t>UAT start date</t>
  </si>
  <si>
    <t>UAT end date</t>
  </si>
  <si>
    <t>Sign-off</t>
  </si>
  <si>
    <t>How to use this workbook</t>
  </si>
  <si>
    <t>1. Sheets</t>
  </si>
  <si>
    <t>One sheet per module. The Summary sheet totals results automatically from each module's Status column; the Defect Log records every failure.</t>
  </si>
  <si>
    <t>2. Execute</t>
  </si>
  <si>
    <t>Work top to bottom within a sheet — cases are ordered so data created by earlier cases feeds later ones (an auction published in AU-007 is bid on in BD-001 and settled in SW-001).</t>
  </si>
  <si>
    <t>3. Record</t>
  </si>
  <si>
    <t>For each case fill in Actual Result, Status, Tester and Execution Date. Status is a dropdown: Not Executed, Pass, Fail, Blocked, N/A.</t>
  </si>
  <si>
    <t>4. Failures</t>
  </si>
  <si>
    <t>Any Fail must have a matching row in the Defect Log, and the Defect ID must be entered in the "Defect ID / Comments" column.</t>
  </si>
  <si>
    <t>5. Blocked</t>
  </si>
  <si>
    <t>Use Blocked when a case cannot be run because of an unresolved earlier defect or an environment issue, and note the blocker in the comments.</t>
  </si>
  <si>
    <t>6. Evidence</t>
  </si>
  <si>
    <t>Attach a screenshot for every Fail, and for every High-priority Pass that involves money moving (bid fee charged, payment reversed) or a prize being awarded.</t>
  </si>
  <si>
    <t>7. Confidentiality</t>
  </si>
  <si>
    <t>Cases in the Bid Confidentiality sheet require inspecting network payloads and database rows, not just the screen. A masked figure on screen is not a pass if the amount is present in the response.</t>
  </si>
  <si>
    <t>8. Exit criteria</t>
  </si>
  <si>
    <t>Suggested: 100% of High priority cases executed with zero open Critical/High defects, and ≥ 95% overall pass rate.</t>
  </si>
  <si>
    <t>Environment prerequisites</t>
  </si>
  <si>
    <t>Console users</t>
  </si>
  <si>
    <t>Super Admin; an Auction Manager (create/update, no approve); an Approver (approve on auctions, approvals, payments, winners); a Finance user (payments); a Support user (bidders, no payments); an Auditor (audit-logs); and one user with no permissions at all.</t>
  </si>
  <si>
    <t>Bidder accounts</t>
  </si>
  <si>
    <t>At least six bidders: two ordinary, one SUSPENDED, one BLOCKED, one on a restricted auction's participant list, one deliberately off it. Reachable test handsets for at least two of them, one set to English and one to Amharic.</t>
  </si>
  <si>
    <t>Catalogue</t>
  </si>
  <si>
    <t>At least three categories and six items with retail prices and images, including one item already referenced by a running auction.</t>
  </si>
  <si>
    <t>Auctions</t>
  </si>
  <si>
    <t>One in each of DRAFT, SCHEDULED, LIVE, ENDED, SETTLED and CANCELLED; one RESTRICTED with an uploaded participant list; one short-window auction (minutes) for lifecycle timing; one re-auction chain at round 2 with carried-forward bid credits.</t>
  </si>
  <si>
    <t>Bids</t>
  </si>
  <si>
    <t>Across the live auctions: confirmed bids with duplicated and unique amounts (including the 1/1/2/3/3/4 pattern for the ranking case), bids in PENDING_PAYMENT, and at least one FAILED, one VOID and one REFUNDED bid.</t>
  </si>
  <si>
    <t>Encryption</t>
  </si>
  <si>
    <t>BID_ENCRYPTION_KEY set and escrowed. A disposable copy of the environment is needed for the key-rotation and undecryptable-bid cases — do not run those against shared UAT data.</t>
  </si>
  <si>
    <t>Payment gateway</t>
  </si>
  <si>
    <t>Super-app payment credentials valid in UAT, a wallet with funds, and the ability to POST callbacks manually (Postman/curl). Note whether PAYMENT_CALLBACK_STRICT is on — the signature cases depend on it.</t>
  </si>
  <si>
    <t>Super-app token</t>
  </si>
  <si>
    <t>TOKEN_VALIDATION_API_URL reachable, with at least one valid token, one expired token and one malformed token available.</t>
  </si>
  <si>
    <t>Test bypass</t>
  </si>
  <si>
    <t>ALLOW_TEST_LOGIN available to switch on and off, so both the enabled and disabled bypass cases can be executed. It must be off for the production-readiness cases.</t>
  </si>
  <si>
    <t>Scheduler</t>
  </si>
  <si>
    <t>Ability to POST /api/cron/tick with the CRON_SECRET, and to start and stop `npm run run:worker`, so the cron, worker and read-path drivers can each be exercised in isolation.</t>
  </si>
  <si>
    <t>Messaging</t>
  </si>
  <si>
    <t>SMS provider configured and reachable, plus the ability to unset SMS_API_URL to exercise the "logged, not sent" path.</t>
  </si>
  <si>
    <t>Database access</t>
  </si>
  <si>
    <t>Read access to the database for the confidentiality, counter and idempotency cases; write access on a disposable copy for the ciphertext-tampering cases only.</t>
  </si>
  <si>
    <t>UAT Test Cases — Admin Access &amp; Sessions</t>
  </si>
  <si>
    <t>23 test cases  •  Project: GuessLow (Guess Low, Win Big)  •  Fill in Actual Result, Status, Tester, Execution Date and Defect ID during execution.</t>
  </si>
  <si>
    <t>Test Case ID</t>
  </si>
  <si>
    <t>Module</t>
  </si>
  <si>
    <t>Feature / Sub-Module</t>
  </si>
  <si>
    <t>Test Scenario</t>
  </si>
  <si>
    <t>Type</t>
  </si>
  <si>
    <t>Priority</t>
  </si>
  <si>
    <t>Pre-conditions</t>
  </si>
  <si>
    <t>Test Steps</t>
  </si>
  <si>
    <t>Test Data</t>
  </si>
  <si>
    <t>Expected Result</t>
  </si>
  <si>
    <t>Actual Result</t>
  </si>
  <si>
    <t>Status</t>
  </si>
  <si>
    <t>Tester</t>
  </si>
  <si>
    <t>Execution Date</t>
  </si>
  <si>
    <t>Defect ID / Comments</t>
  </si>
  <si>
    <t>AS-001</t>
  </si>
  <si>
    <t>Admin Access</t>
  </si>
  <si>
    <t>Sign-in</t>
  </si>
  <si>
    <t>Seeded Super Admin is forced to change the bootstrap password</t>
  </si>
  <si>
    <t>Security</t>
  </si>
  <si>
    <t>High</t>
  </si>
  <si>
    <t>Database seeded with `npm run db:seed`; the seed account has never signed in.</t>
  </si>
  <si>
    <t xml:space="preserve">1. Open /admin/login.
2. Sign in with the seeded credentials.
3. Observe where you land.
4. Try to navigate to /admin/auctions directly.</t>
  </si>
  <si>
    <t>admin@guesslow.et / ChangeMe!2026</t>
  </si>
  <si>
    <t>Sign-in succeeds but lands on /admin/change-password. Every other admin route redirects back to the change-password screen until a new password is set.</t>
  </si>
  <si>
    <t>Not Executed</t>
  </si>
  <si>
    <t>AS-002</t>
  </si>
  <si>
    <t>Valid sign-in lands on the first module the role may read</t>
  </si>
  <si>
    <t>Functional</t>
  </si>
  <si>
    <t>A non-Super-Admin user exists whose role has no Dashboard read but does have Auctions read.</t>
  </si>
  <si>
    <t xml:space="preserve">1. Sign in as that user.
2. Observe the landing page.</t>
  </si>
  <si>
    <t>Role: Auction Manager (no dashboard read)</t>
  </si>
  <si>
    <t>The user lands on /admin/auctions — the first route in the registry their permissions allow — not on a "no access" page.</t>
  </si>
  <si>
    <t>AS-003</t>
  </si>
  <si>
    <t>Unknown email returns the generic failure message</t>
  </si>
  <si>
    <t>No account exists for the email used.</t>
  </si>
  <si>
    <t xml:space="preserve">1. Open /admin/login.
2. Enter an email that does not exist and any password.
3. Submit.</t>
  </si>
  <si>
    <t>nobody@guesslow.et / anything</t>
  </si>
  <si>
    <t>The error reads exactly "Invalid email or password." — the same text a wrong password produces, so the form cannot be used to discover valid accounts. A LOGIN_FAILED audit entry is written.</t>
  </si>
  <si>
    <t>AS-004</t>
  </si>
  <si>
    <t>Wrong password returns the same generic failure message</t>
  </si>
  <si>
    <t>A valid, active account exists.</t>
  </si>
  <si>
    <t xml:space="preserve">1. Sign in with the correct email and a wrong password.
2. Compare the message with AS-003.</t>
  </si>
  <si>
    <t>Valid email / wrong password</t>
  </si>
  <si>
    <t>The message is identical to AS-003 and the response time is comparable. The failed-attempt counter increments.</t>
  </si>
  <si>
    <t>AS-005</t>
  </si>
  <si>
    <t>Account locks after the configured number of failed attempts</t>
  </si>
  <si>
    <t>security.maxFailedLogins = 5 and security.lockoutMinutes = 15 in Settings.</t>
  </si>
  <si>
    <t xml:space="preserve">1. Attempt to sign in with a wrong password five times in a row.
2. Observe the fifth response.
3. Check Audit Logs.</t>
  </si>
  <si>
    <t>Valid email / wrong password × 5</t>
  </si>
  <si>
    <t>The fifth attempt returns HTTP 423 with "Too many failed attempts. This account is locked for 15 minutes." An ACCOUNT_LOCKED audit entry is recorded with the attempt count.</t>
  </si>
  <si>
    <t>AS-006</t>
  </si>
  <si>
    <t>A locked account is refused with the remaining lockout time</t>
  </si>
  <si>
    <t>The account from AS-005 is locked.</t>
  </si>
  <si>
    <t xml:space="preserve">1. Immediately attempt to sign in with the CORRECT password.
2. Read the message.</t>
  </si>
  <si>
    <t>Valid email / correct password</t>
  </si>
  <si>
    <t>Sign-in is refused with HTTP 423 and a message naming the minutes remaining. The correct password does not bypass the lock.</t>
  </si>
  <si>
    <t>AS-007</t>
  </si>
  <si>
    <t>Lockout expires and the correct password works again</t>
  </si>
  <si>
    <t>Medium</t>
  </si>
  <si>
    <t>The account is locked; wait out security.lockoutMinutes (or shorten it in Settings first).</t>
  </si>
  <si>
    <t xml:space="preserve">1. Wait for the lockout to elapse.
2. Sign in with the correct password.</t>
  </si>
  <si>
    <t>security.lockoutMinutes = 1 for the test</t>
  </si>
  <si>
    <t>Sign-in succeeds, failedLoginCount resets to 0 and lockedUntil is cleared.</t>
  </si>
  <si>
    <t>AS-008</t>
  </si>
  <si>
    <t>A suspended or disabled account cannot sign in</t>
  </si>
  <si>
    <t>A user exists with status SUSPENDED or DISABLED.</t>
  </si>
  <si>
    <t xml:space="preserve">1. Sign in with that account's correct credentials.
2. Check Audit Logs.</t>
  </si>
  <si>
    <t>Status: DISABLED</t>
  </si>
  <si>
    <t>HTTP 403 with "This account is not active. Contact a system administrator." A LOGIN_BLOCKED audit entry records the status.</t>
  </si>
  <si>
    <t>AS-009</t>
  </si>
  <si>
    <t>Successful sign-in is audited with IP and user agent</t>
  </si>
  <si>
    <t>Audit Logs readable.</t>
  </si>
  <si>
    <t xml:space="preserve">1. Sign in successfully.
2. Open Audit Logs and find the newest entry.</t>
  </si>
  <si>
    <t>-</t>
  </si>
  <si>
    <t>A LOGIN_SUCCESS row exists naming the actor, with the client IP address and user agent captured, timestamped to the sign-in.</t>
  </si>
  <si>
    <t>AS-010</t>
  </si>
  <si>
    <t>Password</t>
  </si>
  <si>
    <t>Forced password change clears the flag and admits the user</t>
  </si>
  <si>
    <t>A user with passwordChangeRequired set (new account or after a reset).</t>
  </si>
  <si>
    <t xml:space="preserve">1. Sign in.
2. Set a new password that meets the rules.
3. Submit.
4. Navigate to a permitted module.</t>
  </si>
  <si>
    <t>New password: a strong value</t>
  </si>
  <si>
    <t>The change is accepted, passwordChangeRequired is cleared, and the admin console becomes reachable. Returning to /admin/change-password afterwards redirects to /admin.</t>
  </si>
  <si>
    <t>AS-011</t>
  </si>
  <si>
    <t>Password change rejects a weak or reused value</t>
  </si>
  <si>
    <t>Negative</t>
  </si>
  <si>
    <t>Signed in with passwordChangeRequired set.</t>
  </si>
  <si>
    <t xml:space="preserve">1. Try a short password.
2. Try the current password unchanged.
3. Try mismatched confirmation.</t>
  </si>
  <si>
    <t>"123", the existing password, mismatched pair</t>
  </si>
  <si>
    <t>Each attempt is rejected with a clear, specific message and the password is not changed.</t>
  </si>
  <si>
    <t>AS-012</t>
  </si>
  <si>
    <t>Session</t>
  </si>
  <si>
    <t>Signing in elsewhere revokes the earlier session</t>
  </si>
  <si>
    <t>The same user signed in on browser A.</t>
  </si>
  <si>
    <t xml:space="preserve">1. Sign in as that user in browser B.
2. Return to browser A and click any admin link.</t>
  </si>
  <si>
    <t>Two browsers or one normal + one private window</t>
  </si>
  <si>
    <t>Browser A is no longer authenticated and is redirected to /admin/login. Only one active session per user survives.</t>
  </si>
  <si>
    <t>AS-013</t>
  </si>
  <si>
    <t>An expired access token refreshes silently</t>
  </si>
  <si>
    <t>Signed in and idle past the access-token lifetime but inside the refresh window.</t>
  </si>
  <si>
    <t xml:space="preserve">1. Sign in.
2. Leave the tab idle past the access-token lifetime.
3. Click a module in the sidebar.</t>
  </si>
  <si>
    <t>The page loads without a re-login prompt. Both cookies are re-issued (rotated), and the previous refresh token no longer works.</t>
  </si>
  <si>
    <t>AS-014</t>
  </si>
  <si>
    <t>A swapped or tampered session cookie is rejected</t>
  </si>
  <si>
    <t>Two admin accounts, each signed in in a separate browser.</t>
  </si>
  <si>
    <t xml:space="preserve">1. Copy the accessToken cookie from user A into user B's browser, leaving B's refreshToken.
2. Reload an admin page.</t>
  </si>
  <si>
    <t>Cookie editor / developer tools</t>
  </si>
  <si>
    <t>The session is rejected and the browser is sent to /admin/login. The mismatched token pair grants nothing.</t>
  </si>
  <si>
    <t>AS-015</t>
  </si>
  <si>
    <t>Sign-out revokes the session server-side</t>
  </si>
  <si>
    <t>Signed in to the admin console.</t>
  </si>
  <si>
    <t xml:space="preserve">1. Sign out.
2. Press the browser Back button.
3. Reload the page.</t>
  </si>
  <si>
    <t>Both cookies are cleared and the session row is revoked. The Back button may show a cached shell but any reload or data call redirects to /admin/login — no admin data is returned.</t>
  </si>
  <si>
    <t>AS-016</t>
  </si>
  <si>
    <t>Route guard</t>
  </si>
  <si>
    <t>Admin pages are unreachable without a session</t>
  </si>
  <si>
    <t>Signed out.</t>
  </si>
  <si>
    <t>1. Browse directly to /admin/auctions, /admin/payments and /admin/settings.</t>
  </si>
  <si>
    <t>Each request redirects to /admin/login. No page content, KPI figure or record is rendered at any point.</t>
  </si>
  <si>
    <t>AS-017</t>
  </si>
  <si>
    <t>Admin APIs return 401 JSON rather than a redirect</t>
  </si>
  <si>
    <t>Signed out. An API client (Postman/curl) is available.</t>
  </si>
  <si>
    <t xml:space="preserve">1. GET /api/admin/auctions with no cookies.
2. GET /api/admin/settings with no cookies.</t>
  </si>
  <si>
    <t>curl / Postman</t>
  </si>
  <si>
    <t>Both return HTTP 401 with a JSON body {"error":"Not authenticated"}, not an HTML redirect.</t>
  </si>
  <si>
    <t>AS-018</t>
  </si>
  <si>
    <t>A module without read permission is blocked in the UI and the API</t>
  </si>
  <si>
    <t>A role exists with no `payments` permission at all; a user holds it.</t>
  </si>
  <si>
    <t xml:space="preserve">1. Sign in as that user.
2. Confirm Payments is absent from the sidebar.
3. Browse directly to /admin/payments.
4. Call GET /api/admin/payments with that session.</t>
  </si>
  <si>
    <t>Role: Support (no payments)</t>
  </si>
  <si>
    <t>The sidebar omits Payments, the page redirects to /admin/no-access, and the API returns HTTP 403. No payment data is returned in any response.</t>
  </si>
  <si>
    <t>AS-019</t>
  </si>
  <si>
    <t>Role-restricted routes enforce the role on top of the permission</t>
  </si>
  <si>
    <t>A non-Super-Admin role is granted `audit-logs` read but is not named Auditor or Compliance.</t>
  </si>
  <si>
    <t xml:space="preserve">1. Sign in as that user.
2. Browse to /admin/audit-logs.</t>
  </si>
  <si>
    <t>Role: Finance with audit-logs:read granted</t>
  </si>
  <si>
    <t>Access is still refused (redirect to /admin/no-access) because Audit Logs additionally requires the Super Admin, Auditor or Compliance role.</t>
  </si>
  <si>
    <t>AS-020</t>
  </si>
  <si>
    <t>Revoking a permission takes effect without a re-login</t>
  </si>
  <si>
    <t>User B is signed in with `items` read.</t>
  </si>
  <si>
    <t xml:space="preserve">1. As Super Admin, remove `items` read from user B's role and save.
2. In user B's browser, click Items (do not sign out).</t>
  </si>
  <si>
    <t>User B is immediately refused — permissions are read fresh from the database on every request, so no re-login is needed for a revocation to bite.</t>
  </si>
  <si>
    <t>AS-021</t>
  </si>
  <si>
    <t>Super Admin bypasses module permission checks</t>
  </si>
  <si>
    <t>Signed in as Super Admin.</t>
  </si>
  <si>
    <t>1. Open every module in the sidebar in turn.</t>
  </si>
  <si>
    <t>Every module opens. The Super Admin role is not gated by the permission matrix.</t>
  </si>
  <si>
    <t>AS-022</t>
  </si>
  <si>
    <t>Hardening</t>
  </si>
  <si>
    <t>Security response headers are present on every page</t>
  </si>
  <si>
    <t>Any page loaded with developer tools open.</t>
  </si>
  <si>
    <t xml:space="preserve">1. Load /admin/login and inspect the response headers.
2. Repeat for a mini-app page.</t>
  </si>
  <si>
    <t>Browser dev tools → Network</t>
  </si>
  <si>
    <t>Content-Security-Policy (with a per-request nonce and no unsafe-eval in production), X-Content-Type-Options: nosniff, Referrer-Policy: no-referrer, Permissions-Policy and Strict-Transport-Security are all set.</t>
  </si>
  <si>
    <t>AS-023</t>
  </si>
  <si>
    <t>No inline script executes without the CSP nonce</t>
  </si>
  <si>
    <t>A production build is running.</t>
  </si>
  <si>
    <t xml:space="preserve">1. Load any admin page.
2. Check the browser console for CSP violations.
3. Attempt to inject an inline &lt;script&gt; via dev tools.</t>
  </si>
  <si>
    <t>Production build (npm run build &amp;&amp; npm start)</t>
  </si>
  <si>
    <t>The page renders with no CSP errors of its own, and a manually injected inline script is blocked by the policy.</t>
  </si>
  <si>
    <t>UAT Test Cases — Mini-App Access &amp; Ads</t>
  </si>
  <si>
    <t>MA-001</t>
  </si>
  <si>
    <t>Mini-App Access</t>
  </si>
  <si>
    <t>Connect</t>
  </si>
  <si>
    <t>A super-app Bearer token creates a bidder session</t>
  </si>
  <si>
    <t>Integration</t>
  </si>
  <si>
    <t>TOKEN_VALIDATION_API_URL points at a reachable super-app endpoint that resolves the test token to a phone number.</t>
  </si>
  <si>
    <t xml:space="preserve">1. Call GET /connect with header Authorization: Bearer &lt;superAppToken&gt;.
2. Follow the redirect.
3. Inspect cookies.</t>
  </si>
  <si>
    <t>A valid super-app token for a known phone number</t>
  </si>
  <si>
    <t>The token is validated upstream, a bidderSession httpOnly cookie is set with a 1-day expiry, and the browser lands on the mini-app home.</t>
  </si>
  <si>
    <t>MA-002</t>
  </si>
  <si>
    <t>The token may also arrive as a query parameter</t>
  </si>
  <si>
    <t>Some super-app builds cannot set headers on a webview navigation.</t>
  </si>
  <si>
    <t>1. Open /connect?token=&lt;superAppToken&gt; with no Authorization header.</t>
  </si>
  <si>
    <t>Same token as MA-001</t>
  </si>
  <si>
    <t>The session is established exactly as in MA-001.</t>
  </si>
  <si>
    <t>MA-003</t>
  </si>
  <si>
    <t>The ?next= redirect target is restricted to a same-site path</t>
  </si>
  <si>
    <t>A valid token is available.</t>
  </si>
  <si>
    <t xml:space="preserve">1. Open /connect?token=…&amp;next=https://evil.example.com.
2. Repeat with next=//evil.example.com.
3. Repeat with next=/my-bids.</t>
  </si>
  <si>
    <t>External and protocol-relative URLs</t>
  </si>
  <si>
    <t>Both external targets are refused and the user lands on a safe in-app page. Only the same-site path /my-bids is honoured — the endpoint cannot be used as an open redirect.</t>
  </si>
  <si>
    <t>MA-004</t>
  </si>
  <si>
    <t>A first-time phone number gets a bidder profile automatically</t>
  </si>
  <si>
    <t>A phone number with no Bidder row.</t>
  </si>
  <si>
    <t xml:space="preserve">1. Connect with a token that resolves to that number.
2. Open /profile.
3. Check Admin → Bidders.</t>
  </si>
  <si>
    <t>A previously unseen phone number</t>
  </si>
  <si>
    <t>A Bidder record is created on the fly with status ACTIVE and zero totals. There is no signup form and no customer password anywhere in the flow.</t>
  </si>
  <si>
    <t>MA-005</t>
  </si>
  <si>
    <t>A returning phone number reuses the existing profile</t>
  </si>
  <si>
    <t>The bidder from MA-004 has placed at least one bid.</t>
  </si>
  <si>
    <t xml:space="preserve">1. Connect again with the same phone number.
2. Open /profile and /my-bids.</t>
  </si>
  <si>
    <t>Same phone number</t>
  </si>
  <si>
    <t>The same Bidder record is reused — bid history, totals and wins are all still there. No duplicate account is created.</t>
  </si>
  <si>
    <t>MA-006</t>
  </si>
  <si>
    <t>An invalid or expired super-app token is refused</t>
  </si>
  <si>
    <t>TOKEN_VALIDATION_API_URL reachable.</t>
  </si>
  <si>
    <t xml:space="preserve">1. Call /connect with a malformed token.
2. Call /connect with an expired token.</t>
  </si>
  <si>
    <t>Garbage string; a known-expired token</t>
  </si>
  <si>
    <t>No session cookie is set and the screen explains the app should be reopened from the super app. No Bidder row is created.</t>
  </si>
  <si>
    <t>MA-007</t>
  </si>
  <si>
    <t>Browsing is open so the super app can deep-link</t>
  </si>
  <si>
    <t>No bidder session.</t>
  </si>
  <si>
    <t xml:space="preserve">1. Open /auctions.
2. Open /auctions/&lt;code&gt; for a live auction.</t>
  </si>
  <si>
    <t>A published auction code</t>
  </si>
  <si>
    <t>Both pages render the catalogue and the auction detail. Bid controls prompt for a session rather than accepting a bid.</t>
  </si>
  <si>
    <t>MA-008</t>
  </si>
  <si>
    <t>Personal pages require the session</t>
  </si>
  <si>
    <t xml:space="preserve">1. Browse to /my-bids.
2. Browse to /wins.
3. Browse to /profile.</t>
  </si>
  <si>
    <t>Each redirects to /connect with the original path carried in ?next=, and no personal data is rendered.</t>
  </si>
  <si>
    <t>MA-009</t>
  </si>
  <si>
    <t>Mini-app APIs return 401 without a session</t>
  </si>
  <si>
    <t>No bidder session; API client available.</t>
  </si>
  <si>
    <t xml:space="preserve">1. GET /api/miniapp/me.
2. GET /api/miniapp/bids.
3. POST /api/miniapp/bids with a valid body.
4. GET /api/miniapp/wins.</t>
  </si>
  <si>
    <t>All four return HTTP 401 "Not authenticated". No bid is created by step 3.</t>
  </si>
  <si>
    <t>MA-010</t>
  </si>
  <si>
    <t>The site root without a bidder cookie goes to the admin login</t>
  </si>
  <si>
    <t>No bidderSession cookie.</t>
  </si>
  <si>
    <t>1. Open the site root "/" in a plain browser.</t>
  </si>
  <si>
    <t>The browser is redirected to /admin/login — the front door for a browser is the console, while the super-app webview always enters through /connect.</t>
  </si>
  <si>
    <t>MA-011</t>
  </si>
  <si>
    <t>The test sign-in panel is absent when the flag is off</t>
  </si>
  <si>
    <t>ALLOW_TEST_LOGIN is unset or false; app restarted.</t>
  </si>
  <si>
    <t xml:space="preserve">1. Open /connect?test=1.
2. POST directly to the test-login endpoint.</t>
  </si>
  <si>
    <t>ALLOW_TEST_LOGIN unset</t>
  </si>
  <si>
    <t>No test panel renders and the endpoint returns HTTP 403. The bypass cannot be reached from outside.</t>
  </si>
  <si>
    <t>MA-012</t>
  </si>
  <si>
    <t>A test session is stamped, banner-marked and never charged</t>
  </si>
  <si>
    <t>ALLOW_TEST_LOGIN=true in a non-production environment.</t>
  </si>
  <si>
    <t xml:space="preserve">1. Open /connect?test=1 and sign in with any phone number.
2. Look at the top of every mini-app screen.
3. Place a bid on a live auction.
4. Check the bid in Admin → Bids.</t>
  </si>
  <si>
    <t>Any phone number, e.g. 251900000123</t>
  </si>
  <si>
    <t>An orange banner states the session is a test on every screen. The bid skips the payment gateway entirely, is recorded with feeAmount 0 and channel TEST, and becomes ACTIVE immediately.</t>
  </si>
  <si>
    <t>MA-013</t>
  </si>
  <si>
    <t>Every other bidding rule still applies to a test session</t>
  </si>
  <si>
    <t>A test session on a live auction with a per-bidder cap and a cooldown configured.</t>
  </si>
  <si>
    <t xml:space="preserve">1. Bid below the minimum.
2. Bid off the step grid.
3. Repeat one of your own amounts.
4. Exceed the per-bidder cap.
5. Bid twice inside the cooldown.</t>
  </si>
  <si>
    <t>Out-of-range, off-grid and repeated amounts</t>
  </si>
  <si>
    <t>Each is rejected with the same message a real session gets. The bypass removes the charge, not the rules.</t>
  </si>
  <si>
    <t>MA-014</t>
  </si>
  <si>
    <t>The console warns operators that the bypass is live</t>
  </si>
  <si>
    <t>Usability</t>
  </si>
  <si>
    <t>ALLOW_TEST_LOGIN=true.</t>
  </si>
  <si>
    <t>1. Sign in to /admin and open the Dashboard.</t>
  </si>
  <si>
    <t>The dashboard displays a warning that the authorization bypass is enabled, so nobody mistakes a test environment for production.</t>
  </si>
  <si>
    <t>MA-015</t>
  </si>
  <si>
    <t>Test bids are filterable and excluded from revenue</t>
  </si>
  <si>
    <t>Data Integrity</t>
  </si>
  <si>
    <t>At least one TEST bid and one real bid exist.</t>
  </si>
  <si>
    <t xml:space="preserve">1. Open Admin → Bids and filter by channel.
2. Open Reports and check fee income.</t>
  </si>
  <si>
    <t>TEST bids are identifiable by channel and contribute nothing to fee income, because they carry a zero fee.</t>
  </si>
  <si>
    <t>MA-016</t>
  </si>
  <si>
    <t>Profile</t>
  </si>
  <si>
    <t>Language switch between English and Amharic persists</t>
  </si>
  <si>
    <t>A bidder session.</t>
  </si>
  <si>
    <t xml:space="preserve">1. Open /profile.
2. Switch the language to አማርኛ.
3. Navigate to the home screen and back.
4. Reconnect in a new session.</t>
  </si>
  <si>
    <t>am / en</t>
  </si>
  <si>
    <t>The interface copy switches to Amharic immediately, the choice is stored on the bidder profile and survives a reconnect. Subsequent SMS use the Amharic template.</t>
  </si>
  <si>
    <t>MA-017</t>
  </si>
  <si>
    <t>A bidder can only change their own name and language</t>
  </si>
  <si>
    <t xml:space="preserve">1. PATCH /api/miniapp/me with fullName and language.
2. PATCH the same endpoint with status, totalSpent or winsCount.</t>
  </si>
  <si>
    <t>{"status":"BLOCKED"}, {"totalSpent":0}</t>
  </si>
  <si>
    <t>Name and language are updated. Every other field is ignored — status, totals and win counts are unchanged in the database.</t>
  </si>
  <si>
    <t>MA-018</t>
  </si>
  <si>
    <t>Profile input is validated</t>
  </si>
  <si>
    <t>Low</t>
  </si>
  <si>
    <t xml:space="preserve">1. Submit a name longer than 120 characters.
2. Submit an unsupported language code.
3. Submit an empty payload.</t>
  </si>
  <si>
    <t>130-char string; "fr"; {}</t>
  </si>
  <si>
    <t>Each returns HTTP 400 with a specific message ("Name is too long.", "Unsupported language.", "Nothing to update.") and nothing is written.</t>
  </si>
  <si>
    <t>MA-019</t>
  </si>
  <si>
    <t>Ads</t>
  </si>
  <si>
    <t>The post-login ad popup respects the delay and the per-open cap</t>
  </si>
  <si>
    <t>ads.enabled = true, ads.maxPerLogin = 1, ads.delaySeconds = 3; at least two active ads scheduled for today.</t>
  </si>
  <si>
    <t xml:space="preserve">1. Connect a fresh session.
2. Time how long before the popup appears.
3. Close it and watch for a second popup.</t>
  </si>
  <si>
    <t>Two active ads</t>
  </si>
  <si>
    <t>One popup appears about 3 seconds after the app opens, and only one is shown for that sign-in.</t>
  </si>
  <si>
    <t>MA-020</t>
  </si>
  <si>
    <t>Ad frequency rules are honoured per bidder</t>
  </si>
  <si>
    <t>Three ads configured as EVERY_LOGIN, ONCE_PER_DAY and ONCE.</t>
  </si>
  <si>
    <t xml:space="preserve">1. Connect, note which ads appear.
2. Reconnect immediately and compare.
3. Reconnect again after 24 hours (or age the view record).</t>
  </si>
  <si>
    <t>One ad of each frequency</t>
  </si>
  <si>
    <t>EVERY_LOGIN shows on each open; ONCE_PER_DAY does not reappear within 24 hours; ONCE never shows again after the first view.</t>
  </si>
  <si>
    <t>MA-021</t>
  </si>
  <si>
    <t>A forced view holds the popup for the configured seconds</t>
  </si>
  <si>
    <t>An ad with minViewSeconds = 5 and autoCloseSeconds = 10.</t>
  </si>
  <si>
    <t xml:space="preserve">1. Trigger the popup.
2. Try to dismiss it immediately.
3. Wait and observe.</t>
  </si>
  <si>
    <t>minView 5s, autoClose 10s</t>
  </si>
  <si>
    <t>The close control is unavailable for the first 5 seconds, then becomes usable. If left alone the popup closes itself at 10 seconds. The forced view is capped at 30 seconds by the platform.</t>
  </si>
  <si>
    <t>MA-022</t>
  </si>
  <si>
    <t>Ads are hidden from test sessions when configured</t>
  </si>
  <si>
    <t>ads.showToTestSessions = false; ALLOW_TEST_LOGIN=true.</t>
  </si>
  <si>
    <t xml:space="preserve">1. Connect a test session.
2. Watch for the popup.
3. Set ads.showToTestSessions = true and reconnect.</t>
  </si>
  <si>
    <t>No ad is shown to the test session while the setting is off, and one is shown once it is turned on.</t>
  </si>
  <si>
    <t>MA-023</t>
  </si>
  <si>
    <t>Views and clicks are counted once per impression</t>
  </si>
  <si>
    <t>An ad with a link, and a bidder who has not seen it.</t>
  </si>
  <si>
    <t xml:space="preserve">1. Trigger the popup and let it render.
2. Click through.
3. Check the ad statistics in Admin → Content → Ads.</t>
  </si>
  <si>
    <t>Exactly one view and one click are recorded. Ads fetched but never rendered do not burn the frequency cap.</t>
  </si>
  <si>
    <t>UAT Test Cases — Auctions</t>
  </si>
  <si>
    <t>29 test cases  •  Project: GuessLow (Guess Low, Win Big)  •  Fill in Actual Result, Status, Tester, Execution Date and Defect ID during execution.</t>
  </si>
  <si>
    <t>AU-001</t>
  </si>
  <si>
    <t>Access Control</t>
  </si>
  <si>
    <t>The Auctions module honours its read permission</t>
  </si>
  <si>
    <t>One user with auctions:read; one with none.</t>
  </si>
  <si>
    <t xml:space="preserve">1. Open /admin/auctions as each user.
2. Call GET /api/admin/auctions as each.</t>
  </si>
  <si>
    <t>uat_auction_manager / uat_noaccess</t>
  </si>
  <si>
    <t>The permitted user sees the auction list; the other is redirected to /admin/no-access and the API returns 403.</t>
  </si>
  <si>
    <t>AU-002</t>
  </si>
  <si>
    <t>Create</t>
  </si>
  <si>
    <t>A valid auction is created as a draft</t>
  </si>
  <si>
    <t>At least one active item and category exist. auctions:create granted.</t>
  </si>
  <si>
    <t xml:space="preserve">1. Open Auctions → New.
2. Pick an item, set title, window, fee, bid range, step and caps.
3. Save.</t>
  </si>
  <si>
    <t>Fee 5.00, range 1.00–100.00, step 0.01, 20 bids/bidder, 0 total cap</t>
  </si>
  <si>
    <t>The auction is created with status DRAFT and a unique code. It does not appear in the mini-app.</t>
  </si>
  <si>
    <t>AU-003</t>
  </si>
  <si>
    <t>The form pre-fills from the platform defaults</t>
  </si>
  <si>
    <t>bidding.* defaults set in Settings.</t>
  </si>
  <si>
    <t xml:space="preserve">1. Change bidding.defaultBidFee, defaultMinBid, defaultMaxBid, defaultBidStep and defaultDurationDays in Settings.
2. Open Auctions → New.</t>
  </si>
  <si>
    <t>Fee 7.50, min 2.00, max 250.00, step 0.05, 3 days</t>
  </si>
  <si>
    <t>Every one of those fields opens pre-filled with the new default. Settings supply the starting point; the auction can still override each of them.</t>
  </si>
  <si>
    <t>AU-004</t>
  </si>
  <si>
    <t>Economic fields are validated on creation</t>
  </si>
  <si>
    <t>auctions:create granted.</t>
  </si>
  <si>
    <t xml:space="preserve">1. Submit with end before start.
2. Submit with max ≤ min.
3. Submit with step 0.
4. Submit with a negative fee.
5. Submit with maxBidsPerUser 0.
6. Submit with a total cap lower than the per-bidder cap.</t>
  </si>
  <si>
    <t>Each invalid combination in turn</t>
  </si>
  <si>
    <t>Each is rejected with its own specific message and no auction is created — in particular "Max bids per auction cannot be lower than the per-bidder limit".</t>
  </si>
  <si>
    <t>AU-005</t>
  </si>
  <si>
    <t>A duplicate auction code is refused</t>
  </si>
  <si>
    <t>An auction already exists with a known code.</t>
  </si>
  <si>
    <t>1. Create a new auction and force the same code.</t>
  </si>
  <si>
    <t>An existing code</t>
  </si>
  <si>
    <t>HTTP 409 "Auction code … is already in use." and nothing is written.</t>
  </si>
  <si>
    <t>AU-006</t>
  </si>
  <si>
    <t>The sanity-check panel reports the shape of the bid space</t>
  </si>
  <si>
    <t>On the auction form.</t>
  </si>
  <si>
    <t xml:space="preserve">1. Set a range of 1.00–10.00 with step 0.01 and note the panel.
2. Widen the range to 1.00–500.00 and compare.</t>
  </si>
  <si>
    <t>Narrow vs wide range</t>
  </si>
  <si>
    <t>The panel shows how many distinct amounts the range allows and the break-even bid count, and it updates as the inputs change. A narrow range with many expected bidders is visibly flagged as duplicate-prone.</t>
  </si>
  <si>
    <t>AU-007</t>
  </si>
  <si>
    <t>Publish</t>
  </si>
  <si>
    <t>Publishing a draft with a future start schedules it</t>
  </si>
  <si>
    <t>A DRAFT auction whose start time is in the future.</t>
  </si>
  <si>
    <t xml:space="preserve">1. Open the auction and click Publish.
2. Check the status and the mini-app.</t>
  </si>
  <si>
    <t>Start +2 hours, end +2 days</t>
  </si>
  <si>
    <t>Status becomes SCHEDULED, publishedAt is stamped, and the auction appears in the mini-app as upcoming with a countdown to its start.</t>
  </si>
  <si>
    <t>AU-008</t>
  </si>
  <si>
    <t>Publishing a draft whose start has passed opens it immediately</t>
  </si>
  <si>
    <t>A DRAFT auction whose start time is in the past and end time in the future.</t>
  </si>
  <si>
    <t xml:space="preserve">1. Publish it.
2. Open the mini-app.</t>
  </si>
  <si>
    <t>Start −10 minutes, end +1 day</t>
  </si>
  <si>
    <t>Status becomes LIVE and the auction accepts bids straight away.</t>
  </si>
  <si>
    <t>AU-009</t>
  </si>
  <si>
    <t>An auction that has already ended cannot be published</t>
  </si>
  <si>
    <t>A DRAFT auction whose end time is in the past.</t>
  </si>
  <si>
    <t>1. Attempt to publish.</t>
  </si>
  <si>
    <t>End −1 hour</t>
  </si>
  <si>
    <t>HTTP 400 "The end time is in the past — update it before publishing." The auction stays a draft.</t>
  </si>
  <si>
    <t>AU-010</t>
  </si>
  <si>
    <t>A restricted auction with no uploaded list cannot be published</t>
  </si>
  <si>
    <t>A DRAFT auction set to RESTRICTED participation with zero participants uploaded.</t>
  </si>
  <si>
    <t>1. Attempt to publish it.</t>
  </si>
  <si>
    <t>eligibilityMode RESTRICTED, 0 participants</t>
  </si>
  <si>
    <t>HTTP 400 explaining that no participants have been uploaded and the auction would admit nobody. The auction stays a draft.</t>
  </si>
  <si>
    <t>AU-011</t>
  </si>
  <si>
    <t>Maker-checker routes publication to Approvals</t>
  </si>
  <si>
    <t>security.requireApprovalForPublish = true. Two admins: a maker and an approver.</t>
  </si>
  <si>
    <t xml:space="preserve">1. As the maker, publish a draft.
2. Check the auction status.
3. Open Approvals as the approver.</t>
  </si>
  <si>
    <t>The auction moves to PENDING_APPROVAL rather than going live, a PendingChange is queued with a PUBLISH action, and the response says publication was sent for approval.</t>
  </si>
  <si>
    <t>AU-012</t>
  </si>
  <si>
    <t>Edit</t>
  </si>
  <si>
    <t>Economics can be edited freely before the first bid</t>
  </si>
  <si>
    <t>A published auction with zero bids.</t>
  </si>
  <si>
    <t xml:space="preserve">1. Change the bid fee, min, max, step, caps and window.
2. Save.</t>
  </si>
  <si>
    <t>Fee 5.00 → 10.00</t>
  </si>
  <si>
    <t>All changes are accepted and reflected in the mini-app. An AUCTION_UPDATED audit entry lists the changed fields with before and after values.</t>
  </si>
  <si>
    <t>AU-013</t>
  </si>
  <si>
    <t>Economics lock as soon as a bid is placed</t>
  </si>
  <si>
    <t>A LIVE auction with at least one confirmed bid.</t>
  </si>
  <si>
    <t xml:space="preserve">1. Try to change the bid fee.
2. Try to change the minimum or maximum bid.
3. Try to change the step.
4. Try to change the start or end time.</t>
  </si>
  <si>
    <t>Any economic field</t>
  </si>
  <si>
    <t>Each is refused with HTTP 409 "… cannot be changed once bids have been placed. Cancel the auction instead." Changing them would retroactively re-price bids people paid for.</t>
  </si>
  <si>
    <t>AU-014</t>
  </si>
  <si>
    <t>Descriptive fields stay editable while an auction runs</t>
  </si>
  <si>
    <t>A LIVE auction with bids.</t>
  </si>
  <si>
    <t xml:space="preserve">1. Change the title, subtitle and display order.
2. Toggle Featured.
3. Save.</t>
  </si>
  <si>
    <t>All are accepted and shown in the mini-app. Only the money rules are locked.</t>
  </si>
  <si>
    <t>AU-015</t>
  </si>
  <si>
    <t>Re-auction rules stay editable while bids are live</t>
  </si>
  <si>
    <t xml:space="preserve">1. Turn re-auction on.
2. Change max rounds, duration, start delay, who may take part and the turnout floor.
3. Save.</t>
  </si>
  <si>
    <t>maxReauctionRounds 2, minBids 10</t>
  </si>
  <si>
    <t>The changes are accepted — enabling a re-run only ever gives bidders another round on fees already paid, so it cannot re-price an existing bid.</t>
  </si>
  <si>
    <t>AU-016</t>
  </si>
  <si>
    <t>A settled or cancelled auction cannot be edited</t>
  </si>
  <si>
    <t>One SETTLED and one CANCELLED auction.</t>
  </si>
  <si>
    <t>1. Attempt to edit each.</t>
  </si>
  <si>
    <t>Both return HTTP 409 "A settled/cancelled auction cannot be edited."</t>
  </si>
  <si>
    <t>AU-017</t>
  </si>
  <si>
    <t>Participants</t>
  </si>
  <si>
    <t>A participant list uploads from CSV, XLSX and plain text</t>
  </si>
  <si>
    <t>A DRAFT auction; content permissions granted.</t>
  </si>
  <si>
    <t xml:space="preserve">1. Download the template.
2. Upload a CSV of numbers with names.
3. Repeat with an .xlsx.
4. Repeat with a plain-text list.</t>
  </si>
  <si>
    <t>25 valid phone numbers per file</t>
  </si>
  <si>
    <t>Each format imports and the summary reports the number added. Numbers stored in Excel as numerics (leading zero lost) are still normalised and matched.</t>
  </si>
  <si>
    <t>AU-018</t>
  </si>
  <si>
    <t>The import summary reports duplicates, skips and rejects</t>
  </si>
  <si>
    <t>A file containing valid numbers, one number repeated twice, and two malformed entries.</t>
  </si>
  <si>
    <t xml:space="preserve">1. Import the file in append mode onto an auction that already holds one of the numbers.
2. Read the summary.</t>
  </si>
  <si>
    <t>File with 10 rows: 7 valid, 1 in-file duplicate, 1 already present, 2 malformed</t>
  </si>
  <si>
    <t>The summary separately reports added, skipped (already on the list), duplicatesInFile and rejected rows with their reasons. The list total matches what was actually stored.</t>
  </si>
  <si>
    <t>AU-019</t>
  </si>
  <si>
    <t>Replace mode swaps the whole list atomically</t>
  </si>
  <si>
    <t>A RESTRICTED live auction with an existing list of 50 numbers.</t>
  </si>
  <si>
    <t xml:space="preserve">1. Import a new 30-number file in replace mode.
2. While it runs, have an invited bidder attempt a bid.
3. Check the resulting list.</t>
  </si>
  <si>
    <t>50 existing, 30 new</t>
  </si>
  <si>
    <t>The list ends at exactly 30 and the removed count is 50. No bidder is wrongly turned away mid-import — the swap happens inside one transaction.</t>
  </si>
  <si>
    <t>AU-020</t>
  </si>
  <si>
    <t>A restricted auction turns away an uninvited bidder for the right reason</t>
  </si>
  <si>
    <t>A RESTRICTED LIVE auction with a list that excludes the test bidder.</t>
  </si>
  <si>
    <t xml:space="preserve">1. As the excluded bidder, open the auction page.
2. Attempt to place a valid, in-range bid.</t>
  </si>
  <si>
    <t>A phone number not on the list</t>
  </si>
  <si>
    <t>HTTP 403 with "This auction is open to invited participants only, and your number is not on the list." The check runs before anything about the amount or the fee, so the bidder hears the real reason.</t>
  </si>
  <si>
    <t>AU-021</t>
  </si>
  <si>
    <t>Switching a running auction to restricted surfaces stranded bidders</t>
  </si>
  <si>
    <t>A LIVE OPEN auction with paid bids from bidders who are not on the uploaded list.</t>
  </si>
  <si>
    <t xml:space="preserve">1. Upload a list that omits some existing bidders.
2. Switch participation to RESTRICTED.
3. Read the warning before confirming.</t>
  </si>
  <si>
    <t>List omits 3 of 8 existing bidders</t>
  </si>
  <si>
    <t>The console states how many bidders who have already paid would be excluded, so the switch is a decision rather than an accident.</t>
  </si>
  <si>
    <t>AU-022</t>
  </si>
  <si>
    <t>Participation mode cannot be restricted with an empty list</t>
  </si>
  <si>
    <t>An auction with zero participants uploaded.</t>
  </si>
  <si>
    <t>1. Switch participation to RESTRICTED and save.</t>
  </si>
  <si>
    <t>HTTP 400 telling the operator to upload the list first, because an empty list would let nobody bid.</t>
  </si>
  <si>
    <t>AU-023</t>
  </si>
  <si>
    <t>Cancel</t>
  </si>
  <si>
    <t>Cancelling requires a reason and is recorded</t>
  </si>
  <si>
    <t xml:space="preserve">1. Click Cancel and submit with an empty reason.
2. Submit again with a reason.
3. Check Audit Logs and the mini-app.</t>
  </si>
  <si>
    <t>Reason: "Prize unavailable"</t>
  </si>
  <si>
    <t>The empty reason is refused. With a reason the auction becomes CANCELLED with the reason stored, an AUCTION_CANCELLED audit entry records the bid count, and the mini-app shows it as cancelled rather than removing it.</t>
  </si>
  <si>
    <t>AU-024</t>
  </si>
  <si>
    <t>A settled auction cannot be cancelled</t>
  </si>
  <si>
    <t>A SETTLED auction.</t>
  </si>
  <si>
    <t>1. Attempt to cancel it.</t>
  </si>
  <si>
    <t>HTTP 409 "A settled auction cannot be cancelled."</t>
  </si>
  <si>
    <t>AU-025</t>
  </si>
  <si>
    <t>Delete</t>
  </si>
  <si>
    <t>Only an untouched draft can be deleted</t>
  </si>
  <si>
    <t>One DRAFT auction with no bids, one DRAFT with bids, and one published auction.</t>
  </si>
  <si>
    <t>1. Delete each in turn.</t>
  </si>
  <si>
    <t>Only the untouched draft is deleted. The others are refused — an auction that has been public is cancelled, never deleted, so the record survives.</t>
  </si>
  <si>
    <t>AU-026</t>
  </si>
  <si>
    <t>Lifecycle</t>
  </si>
  <si>
    <t>Statuses advance on their own as the window moves</t>
  </si>
  <si>
    <t>A SCHEDULED auction starting in 2 minutes and ending 2 minutes later.</t>
  </si>
  <si>
    <t xml:space="preserve">1. Wait for the start time and refresh the auction list.
2. Wait for the end time and refresh again.</t>
  </si>
  <si>
    <t>Short window for the test</t>
  </si>
  <si>
    <t>The auction moves SCHEDULED → LIVE at the start and LIVE → ENDED at the end, on an ordinary page read, without any manual action.</t>
  </si>
  <si>
    <t>AU-027</t>
  </si>
  <si>
    <t>Anti-sniping extends the end time for a late bid</t>
  </si>
  <si>
    <t>A LIVE auction with autoExtendMinutes = 5, ending in under 5 minutes.</t>
  </si>
  <si>
    <t xml:space="preserve">1. Note the end time.
2. Place and confirm a bid.
3. Re-read the auction.</t>
  </si>
  <si>
    <t>autoExtendMinutes 5</t>
  </si>
  <si>
    <t>The end time moves out by 5 minutes, extendedCount increments and an AUCTION_AUTO_EXTENDED audit entry names the bid that triggered it. A bid confirmed outside the window does not extend it.</t>
  </si>
  <si>
    <t>AU-028</t>
  </si>
  <si>
    <t>Detail</t>
  </si>
  <si>
    <t>The provisional result panel reports shape without amounts</t>
  </si>
  <si>
    <t>A LIVE auction with several bids, some duplicated amounts.</t>
  </si>
  <si>
    <t xml:space="preserve">1. Open the auction detail page as an operator with auctions:read and bids:read.
2. Read the provisional result panel and the Latest bids table.</t>
  </si>
  <si>
    <t>The panel states bids in play, how many amounts are held by exactly one bidder and whether a prize would be awarded — but no amount is shown anywhere, and the bid table renders ••• for every amount.</t>
  </si>
  <si>
    <t>AU-029</t>
  </si>
  <si>
    <t>Feature flag</t>
  </si>
  <si>
    <t>Featuring an auction is reflected and audited</t>
  </si>
  <si>
    <t>A published auction.</t>
  </si>
  <si>
    <t xml:space="preserve">1. Toggle Featured on.
2. Check the mini-app home.
3. Toggle it off.</t>
  </si>
  <si>
    <t>The auction is highlighted in the mini-app while featured, and AUCTION_FEATURED / AUCTION_UNFEATURED audit entries are written.</t>
  </si>
  <si>
    <t>UAT Test Cases — Bidding</t>
  </si>
  <si>
    <t>27 test cases  •  Project: GuessLow (Guess Low, Win Big)  •  Fill in Actual Result, Status, Tester, Execution Date and Defect ID during execution.</t>
  </si>
  <si>
    <t>BD-001</t>
  </si>
  <si>
    <t>Bidding</t>
  </si>
  <si>
    <t>Happy path</t>
  </si>
  <si>
    <t>A valid bid is placed, paid and confirmed</t>
  </si>
  <si>
    <t>A LIVE auction, payments.enabled = true, a bidder session with a funded wallet.</t>
  </si>
  <si>
    <t xml:space="preserve">1. Open the auction and enter a valid in-range amount.
2. Submit and accept the terms.
3. Approve the charge in the wallet.
4. Watch the bid card.</t>
  </si>
  <si>
    <t>Amount 12.34 within 1.00–100.00, step 0.01</t>
  </si>
  <si>
    <t>The bid is created as PENDING_PAYMENT, the wallet is charged the bid fee, and once the callback lands the card flips by itself from "confirming payment" to "bid confirmed". The bid shows as ACTIVE.</t>
  </si>
  <si>
    <t>BD-002</t>
  </si>
  <si>
    <t>Terms</t>
  </si>
  <si>
    <t>The terms acceptance step is required before a bid is sent</t>
  </si>
  <si>
    <t>A LIVE auction and a bidder session; an active terms version exists.</t>
  </si>
  <si>
    <t xml:space="preserve">1. Enter a valid amount and press the submit button.
2. Observe the terms step.
3. Try to confirm without ticking the box.
4. Tick and confirm.</t>
  </si>
  <si>
    <t>Pressing submit opens the terms step rather than placing the bid. The confirm action stays unavailable until the box is ticked. Nothing is sent and no fee is discussed until acceptance.</t>
  </si>
  <si>
    <t>BD-003</t>
  </si>
  <si>
    <t>The API refuses a bid that was not accepted</t>
  </si>
  <si>
    <t>A bidder session; API client available.</t>
  </si>
  <si>
    <t xml:space="preserve">1. POST /api/miniapp/bids with a valid auctionId and amount but no acceptedTerms.
2. Repeat with acceptedTerms: "yes" (a string).
3. Repeat with acceptedTerms: false.</t>
  </si>
  <si>
    <t>{"auctionId":"…","amount":5.00}</t>
  </si>
  <si>
    <t>All three return HTTP 400 with code TERMS_NOT_ACCEPTED. No bid row is created and no fee is charged — the rule is enforced server-side, not only in the form.</t>
  </si>
  <si>
    <t>BD-004</t>
  </si>
  <si>
    <t>The bid form shows the active terms version in the bidder's language</t>
  </si>
  <si>
    <t>An active terms version with English and Amharic content.</t>
  </si>
  <si>
    <t xml:space="preserve">1. As an English bidder, open the terms step and expand the full text.
2. Switch the profile to Amharic and repeat.
3. Publish a new active version in the console and repeat.</t>
  </si>
  <si>
    <t>Terms v1 then v2</t>
  </si>
  <si>
    <t>The English bidder sees the English body, the Amharic bidder sees the Amharic body, and after a new version is activated both see the new text.</t>
  </si>
  <si>
    <t>BD-005</t>
  </si>
  <si>
    <t>Validation</t>
  </si>
  <si>
    <t>An amount outside the auction range is refused</t>
  </si>
  <si>
    <t>Boundary</t>
  </si>
  <si>
    <t>A LIVE auction with range 1.00–100.00.</t>
  </si>
  <si>
    <t xml:space="preserve">1. Bid 0.99.
2. Bid 100.01.
3. Bid exactly 1.00.
4. Bid exactly 100.00.</t>
  </si>
  <si>
    <t>0.99 / 100.01 / 1.00 / 100.00</t>
  </si>
  <si>
    <t>The two out-of-range amounts are refused with OUT_OF_RANGE naming the permitted range. Both boundary values are accepted — the range is inclusive.</t>
  </si>
  <si>
    <t>BD-006</t>
  </si>
  <si>
    <t>An amount off the step grid is refused</t>
  </si>
  <si>
    <t>A LIVE auction with min 1.00 and step 0.05.</t>
  </si>
  <si>
    <t xml:space="preserve">1. Bid 1.03.
2. Bid 1.05.
3. Bid 1.10.</t>
  </si>
  <si>
    <t>step 0.05 from 1.00</t>
  </si>
  <si>
    <t>1.03 is refused with INVALID_STEP naming the increment and the starting point. 1.05 and 1.10 are accepted.</t>
  </si>
  <si>
    <t>BD-007</t>
  </si>
  <si>
    <t>Step checking is immune to floating-point drift</t>
  </si>
  <si>
    <t>A LIVE auction with min 0.10 and step 0.10.</t>
  </si>
  <si>
    <t xml:space="preserve">1. Bid 0.30.
2. Bid 0.70.
3. Bid 1.20.</t>
  </si>
  <si>
    <t>Amounts that drift in float arithmetic</t>
  </si>
  <si>
    <t>All are accepted. The comparison is done in integer minor units, so 0.1 + 0.2 style drift cannot reject a valid bid.</t>
  </si>
  <si>
    <t>BD-008</t>
  </si>
  <si>
    <t>Non-numeric, zero and negative amounts are refused</t>
  </si>
  <si>
    <t>A LIVE auction.</t>
  </si>
  <si>
    <t xml:space="preserve">1. Submit an empty amount.
2. Submit "abc".
3. Submit 0.
4. Submit −5.</t>
  </si>
  <si>
    <t>"", "abc", 0, −5</t>
  </si>
  <si>
    <t>Each is refused with a clear message and no bid is created.</t>
  </si>
  <si>
    <t>BD-009</t>
  </si>
  <si>
    <t>Limits</t>
  </si>
  <si>
    <t>The per-bidder cap is enforced</t>
  </si>
  <si>
    <t>A LIVE auction with maxBidsPerUser = 3; a bidder with 3 confirmed bids.</t>
  </si>
  <si>
    <t xml:space="preserve">1. Place a fourth bid.
2. Read the message and the "bids remaining" counter.</t>
  </si>
  <si>
    <t>maxBidsPerUser 3</t>
  </si>
  <si>
    <t>HTTP 409 LIMIT_REACHED naming the limit of 3. The counter reads zero remaining before the attempt.</t>
  </si>
  <si>
    <t>BD-010</t>
  </si>
  <si>
    <t>The auction-wide cap counts bids still awaiting payment</t>
  </si>
  <si>
    <t>A LIVE auction with maxTotalBids = 5; 3 confirmed bids and 2 sitting in PENDING_PAYMENT.</t>
  </si>
  <si>
    <t>1. Attempt a sixth bid from a different bidder.</t>
  </si>
  <si>
    <t>maxTotalBids 5</t>
  </si>
  <si>
    <t>HTTP 409 AUCTION_LIMIT_REACHED. Pending bids count toward the cap, so a burst of unpaid bids cannot oversubscribe it and then all confirm.</t>
  </si>
  <si>
    <t>BD-011</t>
  </si>
  <si>
    <t>maxTotalBids = 0 means unlimited</t>
  </si>
  <si>
    <t>A LIVE auction with maxTotalBids = 0.</t>
  </si>
  <si>
    <t>1. Place bids well beyond any per-bidder cap using several bidders.</t>
  </si>
  <si>
    <t>No auction-wide cap is applied; only the per-bidder limit governs.</t>
  </si>
  <si>
    <t>BD-012</t>
  </si>
  <si>
    <t>Uniqueness</t>
  </si>
  <si>
    <t>Repeating your own amount is refused by default</t>
  </si>
  <si>
    <t>bidding.allowRepeatOwnAmount = false; a bidder with a confirmed bid of 7.50.</t>
  </si>
  <si>
    <t xml:space="preserve">1. Bid 7.50 again on the same auction.
2. Read the message.</t>
  </si>
  <si>
    <t>7.50 twice</t>
  </si>
  <si>
    <t>HTTP 409 DUPLICATE_OWN_AMOUNT explaining that repeating the amount would cancel out the bidder's own uniqueness.</t>
  </si>
  <si>
    <t>BD-013</t>
  </si>
  <si>
    <t>Repeating your own amount is allowed when the setting is on</t>
  </si>
  <si>
    <t>bidding.allowRepeatOwnAmount = true.</t>
  </si>
  <si>
    <t xml:space="preserve">1. Bid the same amount twice as the same bidder.
2. Settle the auction and inspect the result.</t>
  </si>
  <si>
    <t>Both bids are accepted. At settlement that amount is held by two bids, so it is not unique and neither wins on it.</t>
  </si>
  <si>
    <t>BD-014</t>
  </si>
  <si>
    <t>Throttling</t>
  </si>
  <si>
    <t>The cooldown between bids is enforced</t>
  </si>
  <si>
    <t>bidding.cooldownSeconds = 30; a bidder who has just bid.</t>
  </si>
  <si>
    <t xml:space="preserve">1. Immediately place another valid bid.
2. Read the message.
3. Wait out the cooldown and retry.</t>
  </si>
  <si>
    <t>cooldownSeconds 30</t>
  </si>
  <si>
    <t>HTTP 429 naming the seconds remaining, then the bid is accepted once the cooldown has elapsed.</t>
  </si>
  <si>
    <t>BD-015</t>
  </si>
  <si>
    <t>Auction state</t>
  </si>
  <si>
    <t>Bidding is refused on every non-live status with the right message</t>
  </si>
  <si>
    <t>One auction in each of DRAFT, SCHEDULED, ENDED and CANCELLED.</t>
  </si>
  <si>
    <t>1. Attempt a valid bid on each, via the API if the UI hides the control.</t>
  </si>
  <si>
    <t>One auction per status</t>
  </si>
  <si>
    <t>HTTP 409 AUCTION_NOT_LIVE each time, with a status-specific message: not started yet / not open for bidding / already closed / was cancelled.</t>
  </si>
  <si>
    <t>BD-016</t>
  </si>
  <si>
    <t>Bidder state</t>
  </si>
  <si>
    <t>A suspended or blocked bidder cannot bid</t>
  </si>
  <si>
    <t>One SUSPENDED and one BLOCKED bidder, both with sessions.</t>
  </si>
  <si>
    <t>1. Attempt a valid bid as each.</t>
  </si>
  <si>
    <t>HTTP 403 BIDDER_BLOCKED. The blocked account is told to contact support; the suspended account is told the account is suspended. No fee is charged.</t>
  </si>
  <si>
    <t>BD-017</t>
  </si>
  <si>
    <t>Platform state</t>
  </si>
  <si>
    <t>Maintenance mode stops bidding with the configured message</t>
  </si>
  <si>
    <t>platform.maintenanceMode = true with a custom platform.maintenanceMessage.</t>
  </si>
  <si>
    <t xml:space="preserve">1. Attempt a bid.
2. Compare the message with the setting.
3. Turn maintenance off and retry.</t>
  </si>
  <si>
    <t>Message: "Bidding pauses for maintenance until 14:00."</t>
  </si>
  <si>
    <t>HTTP 503 MAINTENANCE quoting the configured message exactly. Bidding resumes once the setting is turned off.</t>
  </si>
  <si>
    <t>BD-018</t>
  </si>
  <si>
    <t>Eligibility order</t>
  </si>
  <si>
    <t>An uninvited bidder is turned away before any money is discussed</t>
  </si>
  <si>
    <t>A RESTRICTED live auction; the bidder is not on the list; the bid amount is deliberately out of range.</t>
  </si>
  <si>
    <t xml:space="preserve">1. Attempt the bid.
2. Read which reason is returned.</t>
  </si>
  <si>
    <t>Out-of-range amount, uninvited bidder</t>
  </si>
  <si>
    <t>The response is NOT_ON_PARTICIPANT_LIST — the eligibility check runs before amount validation, so the bidder hears the real reason rather than a complaint about their amount.</t>
  </si>
  <si>
    <t>BD-019</t>
  </si>
  <si>
    <t>Payment</t>
  </si>
  <si>
    <t>A bid does not count until its fee is confirmed</t>
  </si>
  <si>
    <t>payments.enabled = true; a LIVE auction.</t>
  </si>
  <si>
    <t xml:space="preserve">1. Place a bid but do not approve the wallet charge.
2. Check the auction bid count and the bid status.
3. Have the auction settle in this state.</t>
  </si>
  <si>
    <t>The bid sits at PENDING_PAYMENT, the auction bid count does not include it, and it takes no part in the uniqueness calculation at settlement.</t>
  </si>
  <si>
    <t>BD-020</t>
  </si>
  <si>
    <t>A gateway failure fails the bid instead of leaving it pending</t>
  </si>
  <si>
    <t>The payment gateway is unreachable or configured with bad credentials.</t>
  </si>
  <si>
    <t xml:space="preserve">1. Place a bid.
2. Check the bid record and the message shown.</t>
  </si>
  <si>
    <t>PAYMENT_URL pointed at an unreachable host</t>
  </si>
  <si>
    <t>The bid is marked FAILED with the failure reason recorded, the bidder is told the payment did not go through, and no bid lingers in PENDING_PAYMENT.</t>
  </si>
  <si>
    <t>BD-021</t>
  </si>
  <si>
    <t>With fees disabled a bid confirms immediately at zero cost</t>
  </si>
  <si>
    <t>payments.enabled = false.</t>
  </si>
  <si>
    <t xml:space="preserve">1. Place a valid bid.
2. Check the bid record and the bidder totals.</t>
  </si>
  <si>
    <t>The bid is ACTIVE straight away with feeAmount 0 and no gateway round-trip. The bidder's "total spent" does not move, so pilot-mode bids never claim income that was not collected.</t>
  </si>
  <si>
    <t>BD-022</t>
  </si>
  <si>
    <t>Counters</t>
  </si>
  <si>
    <t>Confirming a bid updates every counter exactly once</t>
  </si>
  <si>
    <t>A LIVE auction and a bidder placing their first bid on it.</t>
  </si>
  <si>
    <t xml:space="preserve">1. Note auction bidCount/bidderCount and bidder totalBids/totalSpent.
2. Place and confirm a bid.
3. Re-read all four.
4. Place a second bid from the same bidder and re-read.</t>
  </si>
  <si>
    <t>After the first bid: bidCount +1, bidderCount +1, totalBids +1, totalSpent + fee. After the second: bidCount +1 and totalBids +1, but bidderCount unchanged — a bidder is counted once per auction.</t>
  </si>
  <si>
    <t>BD-023</t>
  </si>
  <si>
    <t>Sequence numbers and the remaining-bids counter are correct</t>
  </si>
  <si>
    <t>An auction with maxBidsPerUser = 5.</t>
  </si>
  <si>
    <t xml:space="preserve">1. Place three bids in a row.
2. Read the sequence on each and the remaining count shown after each.</t>
  </si>
  <si>
    <t>Sequences run 1, 2, 3 and the remaining counter reads 4, 3, 2 respectively.</t>
  </si>
  <si>
    <t>BD-024</t>
  </si>
  <si>
    <t>Audit</t>
  </si>
  <si>
    <t>The BID_PLACED audit entry carries no amount</t>
  </si>
  <si>
    <t>Audit Logs readable by an Auditor while the auction is still running.</t>
  </si>
  <si>
    <t xml:space="preserve">1. Place a bid.
2. Open Audit Logs as an Auditor and open the BID_PLACED entry.</t>
  </si>
  <si>
    <t>The entry names the auction, fee, sequence and round, and points at the bid by id — but the bid amount appears nowhere in it. The live bid distribution is not one table away from the Auditor role.</t>
  </si>
  <si>
    <t>BD-025</t>
  </si>
  <si>
    <t>Concurrency</t>
  </si>
  <si>
    <t>Simultaneous bids cannot breach the caps</t>
  </si>
  <si>
    <t>An auction with maxTotalBids = 10 and 9 bids already placed.</t>
  </si>
  <si>
    <t xml:space="preserve">1. Fire three bid requests at the same moment from different bidders.
2. Count the resulting bids.</t>
  </si>
  <si>
    <t>Concurrent API calls</t>
  </si>
  <si>
    <t>At most one succeeds; the cap is not exceeded. The refusals carry AUCTION_LIMIT_REACHED.</t>
  </si>
  <si>
    <t>BD-026</t>
  </si>
  <si>
    <t>Resilience</t>
  </si>
  <si>
    <t>Bidding stops safely if the encryption key is unavailable</t>
  </si>
  <si>
    <t>BID_ENCRYPTION_KEY removed or set to an invalid value; app restarted. Use a disposable environment.</t>
  </si>
  <si>
    <t xml:space="preserve">1. Attempt a valid bid.
2. Check whether any bid row was written.</t>
  </si>
  <si>
    <t>BID_ENCRYPTION_KEY unset</t>
  </si>
  <si>
    <t>HTTP 503 AMOUNT_CIPHER_UNAVAILABLE with a "try again shortly" message. No bid row is created and no fee is charged — the platform refuses rather than writing rows nobody could ever settle.</t>
  </si>
  <si>
    <t>BD-027</t>
  </si>
  <si>
    <t>My bids</t>
  </si>
  <si>
    <t>The bidder sees their own bids with live status</t>
  </si>
  <si>
    <t>A bidder with bids in ACTIVE, PENDING_PAYMENT, FAILED and VOID states.</t>
  </si>
  <si>
    <t xml:space="preserve">1. Open /my-bids.
2. Compare each row with the database.</t>
  </si>
  <si>
    <t>All four states are listed with the correct amount, fee, sequence and auction, newest first. The bidder always sees their own amounts.</t>
  </si>
  <si>
    <t>UAT Test Cases — Bid Confidentiality</t>
  </si>
  <si>
    <t>15 test cases  •  Project: GuessLow (Guess Low, Win Big)  •  Fill in Actual Result, Status, Tester, Execution Date and Defect ID during execution.</t>
  </si>
  <si>
    <t>BC-001</t>
  </si>
  <si>
    <t>Bid Confidentiality</t>
  </si>
  <si>
    <t>At rest</t>
  </si>
  <si>
    <t>Bid amounts are stored only as ciphertext</t>
  </si>
  <si>
    <t>Read access to the database. At least one confirmed bid exists.</t>
  </si>
  <si>
    <t xml:space="preserve">1. SELECT the Bid table.
2. Inspect amountCipher.
3. Look for any plaintext amount column.</t>
  </si>
  <si>
    <t>SQL client</t>
  </si>
  <si>
    <t>amountCipher holds an envelope of the form v1.&lt;keyId&gt;.&lt;iv&gt;.&lt;ciphertext&gt;. There is no readable amount column, and no index on the cipher column — nothing about a bid amount can be grouped, ranked or ranged over in SQL.</t>
  </si>
  <si>
    <t>BC-002</t>
  </si>
  <si>
    <t>Two identical amounts do not look alike in the database</t>
  </si>
  <si>
    <t>bidding.allowRepeatOwnAmount = true, or two bidders bidding the same amount.</t>
  </si>
  <si>
    <t xml:space="preserve">1. Place two bids of exactly the same amount.
2. Compare the two amountCipher values.</t>
  </si>
  <si>
    <t>Two bids of 25.00</t>
  </si>
  <si>
    <t>The two ciphertexts differ entirely. The random IV means the duplicate structure of the auction cannot be read off the table.</t>
  </si>
  <si>
    <t>BC-003</t>
  </si>
  <si>
    <t>A ciphertext pasted into another row fails to open</t>
  </si>
  <si>
    <t>Two bids from different bidders on different auctions. Use a disposable environment.</t>
  </si>
  <si>
    <t xml:space="preserve">1. Copy the amountCipher from bid A into bid B's row.
2. Attempt to view bid B in the mini-app.
3. Attempt to settle bid B's auction.</t>
  </si>
  <si>
    <t>SQL UPDATE swapping one cipher</t>
  </si>
  <si>
    <t>The value does not decrypt — the envelope is bound by AAD to its own auction and bidder. The bid shows as unreadable rather than silently becoming a different amount, and settlement is blocked.</t>
  </si>
  <si>
    <t>BC-004</t>
  </si>
  <si>
    <t>Disclosure</t>
  </si>
  <si>
    <t>A bidder can always read their own amounts</t>
  </si>
  <si>
    <t>A bidder with bids on a LIVE auction and on a SETTLED one.</t>
  </si>
  <si>
    <t xml:space="preserve">1. Open /my-bids on both auctions.
2. Open the auction page for the live one.</t>
  </si>
  <si>
    <t>Every one of the bidder's own amounts is shown in full, live or not — they typed them in.</t>
  </si>
  <si>
    <t>BC-005</t>
  </si>
  <si>
    <t>A live auction discloses nothing about other bidders' amounts</t>
  </si>
  <si>
    <t>A LIVE auction with bids from several bidders.</t>
  </si>
  <si>
    <t xml:space="preserve">1. As bidder A, open the auction page and inspect the network response for the auction and bid endpoints.
2. Look for any other bidder's amount in the payload.</t>
  </si>
  <si>
    <t>No other bidder's amount appears anywhere on screen or in any response payload. Withheld amounts are never decrypted at all, so there is nothing to find in the JSON, a log, or the page source.</t>
  </si>
  <si>
    <t>BC-006</t>
  </si>
  <si>
    <t>An ENDED auction still masks amounts</t>
  </si>
  <si>
    <t>An auction past its end time but not yet settled.</t>
  </si>
  <si>
    <t xml:space="preserve">1. Open it in the mini-app as a non-participant.
2. Open /admin/bids as an operator with bids:read.</t>
  </si>
  <si>
    <t>Amounts still render as •••. An ended auction can still be re-settled or extended by a late payment callback, so its bid space is still live information.</t>
  </si>
  <si>
    <t>BC-007</t>
  </si>
  <si>
    <t>A SETTLED auction reveals amounts to entitled viewers</t>
  </si>
  <si>
    <t>A SETTLED auction with a winner.</t>
  </si>
  <si>
    <t xml:space="preserve">1. Open it as an operator with bids:read.
2. Open the winner record.
3. Open the mini-app auction page as an ordinary bidder.</t>
  </si>
  <si>
    <t>The operator sees the bid amounts and the winning amount. The mini-app publishes the winning amount. An ordinary bidder still sees only their own rows.</t>
  </si>
  <si>
    <t>BC-008</t>
  </si>
  <si>
    <t>Staff are held to the same boundary</t>
  </si>
  <si>
    <t>A LIVE auction with many bids; an operator with bids:read and auctions:read.</t>
  </si>
  <si>
    <t xml:space="preserve">1. Open /admin/bids.
2. Open the bidder detail page for an active bidder.
3. Open the auction's Latest bids table.</t>
  </si>
  <si>
    <t>All three mask amounts until the auction settles. Holding the bids permission does not open a live bid space.</t>
  </si>
  <si>
    <t>BC-009</t>
  </si>
  <si>
    <t>Reveal policy</t>
  </si>
  <si>
    <t>END_ONLY hides uniqueness while an auction runs</t>
  </si>
  <si>
    <t>reveal.policy = END_ONLY. A bidder with confirmed bids on a live auction.</t>
  </si>
  <si>
    <t xml:space="preserve">1. Open /my-bids.
2. Check the unique/taken indicator on each bid.</t>
  </si>
  <si>
    <t>No uniqueness status is shown — isUnique is null while the auction runs, so bidders cannot probe the bid space.</t>
  </si>
  <si>
    <t>BC-010</t>
  </si>
  <si>
    <t>LAST_WINDOW reveals only inside the final window</t>
  </si>
  <si>
    <t>reveal.policy = LAST_WINDOW, reveal.windowMinutes = 30; an auction ending in 45 minutes.</t>
  </si>
  <si>
    <t xml:space="preserve">1. Check /my-bids now.
2. Wait until under 30 minutes remain and check again.</t>
  </si>
  <si>
    <t>windowMinutes 30</t>
  </si>
  <si>
    <t>Nothing is revealed at 45 minutes; the unique/taken status appears once the auction is inside the final 30 minutes.</t>
  </si>
  <si>
    <t>BC-011</t>
  </si>
  <si>
    <t>LIVE reveals status on every bid immediately</t>
  </si>
  <si>
    <t>reveal.policy = LIVE.</t>
  </si>
  <si>
    <t>1. Place a bid and check /my-bids straight away.</t>
  </si>
  <si>
    <t>The unique/taken status is shown as soon as the bid confirms.</t>
  </si>
  <si>
    <t>BC-012</t>
  </si>
  <si>
    <t>Settlement logs the winning amount but not the runner-ups</t>
  </si>
  <si>
    <t>A SETTLED auction with winners.runnerUpDepth ≥ 2.</t>
  </si>
  <si>
    <t xml:space="preserve">1. Open the AUCTION_SETTLED audit entry.
2. Inspect its details.</t>
  </si>
  <si>
    <t>The entry records the winning amount (published from then on), total and unique bid counts, and the top ranks as bid ids — but no runner-up amounts. Ranks and ids are enough to reconstruct the ordering from the result table if a dispute needs it.</t>
  </si>
  <si>
    <t>BC-013</t>
  </si>
  <si>
    <t>Notifications</t>
  </si>
  <si>
    <t>The confirmation SMS quotes the amount but the log masks it</t>
  </si>
  <si>
    <t>notifications.onBidConfirmed = true; a bid that confirms via the gateway.</t>
  </si>
  <si>
    <t xml:space="preserve">1. Place and confirm a bid.
2. Read the SMS on the handset.
3. Open Admin → Notifications → Delivery log and read the stored message.</t>
  </si>
  <si>
    <t>A reachable test handset</t>
  </si>
  <si>
    <t>The SMS quotes the bidder their own amount. The delivery-log row stores the amount masked, so the log is not a back door into the live bid distribution.</t>
  </si>
  <si>
    <t>BC-014</t>
  </si>
  <si>
    <t>Key handling</t>
  </si>
  <si>
    <t>A rotated key keeps existing bids readable</t>
  </si>
  <si>
    <t>A disposable environment with existing bids. Take a backup first.</t>
  </si>
  <si>
    <t xml:space="preserve">1. Move the current key to BID_ENCRYPTION_KEY_PREVIOUS and put a new key in BID_ENCRYPTION_KEY.
2. Restart the app.
3. Open /my-bids for an existing bidder.
4. Place a new bid.
5. Run `npm run bids:encrypt`.</t>
  </si>
  <si>
    <t>Two 32-byte keys</t>
  </si>
  <si>
    <t>Existing bids still open under the previous key and new bids are sealed under the new one. After the re-encrypt script every row opens under the new key alone.</t>
  </si>
  <si>
    <t>BC-015</t>
  </si>
  <si>
    <t>Settlement</t>
  </si>
  <si>
    <t>A bid that will not decrypt blocks its own settlement only</t>
  </si>
  <si>
    <t>Two auctions due for settlement; one contains a deliberately corrupted amountCipher. Use a disposable environment.</t>
  </si>
  <si>
    <t xml:space="preserve">1. Corrupt one bid's ciphertext.
2. Run the settlement pass.
3. Check both auctions and the audit log.</t>
  </si>
  <si>
    <t>One corrupted cipher</t>
  </si>
  <si>
    <t>The affected auction is not settled and an AUCTION_SETTLEMENT_BLOCKED entry records how many bids failed to decrypt. The other auction settles normally. The corrupt bid is never silently dropped from the ranking.</t>
  </si>
  <si>
    <t>UAT Test Cases — Payments</t>
  </si>
  <si>
    <t>21 test cases  •  Project: GuessLow (Guess Low, Win Big)  •  Fill in Actual Result, Status, Tester, Execution Date and Defect ID during execution.</t>
  </si>
  <si>
    <t>PY-001</t>
  </si>
  <si>
    <t>Payments</t>
  </si>
  <si>
    <t>Initiation</t>
  </si>
  <si>
    <t>The gateway request is signed with the documented fields</t>
  </si>
  <si>
    <t>payments.enabled = true with merchant details configured; a proxy or gateway log available.</t>
  </si>
  <si>
    <t xml:space="preserve">1. Place a bid.
2. Capture the outbound gateway request.
3. Recompute the signature from the documented field order.</t>
  </si>
  <si>
    <t>accountNo, amount, callBackURL, companyName, Key, token, transactionId, transactionTime</t>
  </si>
  <si>
    <t>The request carries every field and the SHA-256 signature recomputes to the same value. The amount equals the auction bid fee.</t>
  </si>
  <si>
    <t>PY-002</t>
  </si>
  <si>
    <t>Callback</t>
  </si>
  <si>
    <t>A successful callback confirms the bid</t>
  </si>
  <si>
    <t>A bid sitting in PENDING_PAYMENT with a known transactionId.</t>
  </si>
  <si>
    <t xml:space="preserve">1. POST the success callback with a valid bearer token and matching amount.
2. Check the transaction, the bid and the SMS.</t>
  </si>
  <si>
    <t>transactionId from the pending payment</t>
  </si>
  <si>
    <t>The transaction becomes SUCCESS, the bid becomes ACTIVE with confirmedAt stamped, counters increment, and a BID_CONFIRMED SMS is sent when the toggle is on.</t>
  </si>
  <si>
    <t>PY-003</t>
  </si>
  <si>
    <t>A callback with no Authorization header is refused</t>
  </si>
  <si>
    <t>A pending transaction exists.</t>
  </si>
  <si>
    <t>1. POST the callback with no Authorization header.</t>
  </si>
  <si>
    <t>HTTP 401 "Authorization header is missing." The bid stays pending.</t>
  </si>
  <si>
    <t>PY-004</t>
  </si>
  <si>
    <t>A callback with an invalid token is refused and audited</t>
  </si>
  <si>
    <t xml:space="preserve">1. POST the callback with a token the super app rejects.
2. Check Audit Logs.</t>
  </si>
  <si>
    <t>Invalid bearer token</t>
  </si>
  <si>
    <t>The callback is refused and a PAYMENT_CALLBACK_REJECTED audit entry records the failure with the transaction id. The bid stays pending.</t>
  </si>
  <si>
    <t>PY-005</t>
  </si>
  <si>
    <t>The embedded-JSON Authorization form is accepted</t>
  </si>
  <si>
    <t>Some gateway builds send Bearer {"token":"…"}.</t>
  </si>
  <si>
    <t>1. POST the callback with Authorization: Bearer {"token":"&lt;valid&gt;"}.</t>
  </si>
  <si>
    <t>Embedded JSON token form</t>
  </si>
  <si>
    <t>The token is extracted and validated, and the callback processes normally.</t>
  </si>
  <si>
    <t>PY-006</t>
  </si>
  <si>
    <t>An unknown transaction id is rejected</t>
  </si>
  <si>
    <t>API client available.</t>
  </si>
  <si>
    <t xml:space="preserve">1. POST a callback for a transactionId that does not exist.
2. Check Audit Logs.</t>
  </si>
  <si>
    <t>Random transaction id</t>
  </si>
  <si>
    <t>HTTP 404 "Unknown transaction." and a PAYMENT_CALLBACK_UNKNOWN_TXN audit entry. Nothing is created.</t>
  </si>
  <si>
    <t>PY-007</t>
  </si>
  <si>
    <t>A mismatched paid amount fails the bid</t>
  </si>
  <si>
    <t>A pending transaction for a fee of 5.00.</t>
  </si>
  <si>
    <t xml:space="preserve">1. POST the callback with paidAmount 3.00.
2. Check the transaction and the bid.</t>
  </si>
  <si>
    <t>Expected 5.00, paid 3.00</t>
  </si>
  <si>
    <t>The transaction is FAILED with a reason naming both amounts, and the bid is marked FAILED. The bid never becomes ACTIVE.</t>
  </si>
  <si>
    <t>PY-008</t>
  </si>
  <si>
    <t>A failure status from the gateway fails the bid</t>
  </si>
  <si>
    <t>A pending transaction.</t>
  </si>
  <si>
    <t>1. POST the callback with status "failed".</t>
  </si>
  <si>
    <t>{"status":"failed"}</t>
  </si>
  <si>
    <t>The transaction is FAILED with the gateway status recorded and the bid is marked FAILED.</t>
  </si>
  <si>
    <t>PY-009</t>
  </si>
  <si>
    <t>A retried callback is idempotent</t>
  </si>
  <si>
    <t>A bid already confirmed by a successful callback; note the auction bid count and the bidder totals.</t>
  </si>
  <si>
    <t xml:space="preserve">1. POST the identical callback a second time.
2. POST it a third time.
3. Re-read all counters.</t>
  </si>
  <si>
    <t>Same payload three times</t>
  </si>
  <si>
    <t>The response says "Already processed." and every counter is unchanged. Gateways retry, and a double-count would corrupt the auction result.</t>
  </si>
  <si>
    <t>PY-010</t>
  </si>
  <si>
    <t>A signature mismatch is recorded but not fatal by default</t>
  </si>
  <si>
    <t>PAYMENT_CALLBACK_STRICT unset or false.</t>
  </si>
  <si>
    <t xml:space="preserve">1. POST a valid callback with a deliberately wrong signature.
2. Check the bid and Audit Logs.</t>
  </si>
  <si>
    <t>Wrong Signature value</t>
  </si>
  <si>
    <t>Processing continues and the bid confirms, but a PAYMENT_CALLBACK_SIGNATURE_MISMATCH audit entry is written and the note is stored on the transaction.</t>
  </si>
  <si>
    <t>PY-011</t>
  </si>
  <si>
    <t>Strict mode rejects a mismatched signature outright</t>
  </si>
  <si>
    <t>PAYMENT_CALLBACK_STRICT = true; app restarted.</t>
  </si>
  <si>
    <t xml:space="preserve">1. POST the same wrong-signature callback.
2. Check the bid.</t>
  </si>
  <si>
    <t>HTTP 401 "Invalid signature.", a PAYMENT_CALLBACK_REJECTED audit entry, and the bid stays pending. This is the setting to verify before go-live.</t>
  </si>
  <si>
    <t>PY-012</t>
  </si>
  <si>
    <t>The stored callback payload redacts credentials</t>
  </si>
  <si>
    <t>A processed callback.</t>
  </si>
  <si>
    <t>1. Open the transaction record and read callbackPayload.</t>
  </si>
  <si>
    <t>The token and Signature fields are stored as *** while the rest of the payload is retained for reconciliation.</t>
  </si>
  <si>
    <t>PY-013</t>
  </si>
  <si>
    <t>Timeout</t>
  </si>
  <si>
    <t>An unpaid bid is voided after the payment timeout</t>
  </si>
  <si>
    <t>payments.pendingTimeoutMinutes = 15; a bid left in PENDING_PAYMENT for longer.</t>
  </si>
  <si>
    <t xml:space="preserve">1. Leave the bid unpaid past the timeout.
2. Run the tick (or wait for it).
3. Check the bid and its transaction.</t>
  </si>
  <si>
    <t>pendingTimeoutMinutes 15</t>
  </si>
  <si>
    <t>The bid becomes VOID with a reason naming the timeout, and the transaction becomes EXPIRED. The bid takes no part in settlement.</t>
  </si>
  <si>
    <t>PY-014</t>
  </si>
  <si>
    <t>Late payment</t>
  </si>
  <si>
    <t>A payment landing after the bid was voided is flagged for refund</t>
  </si>
  <si>
    <t>payments.refundVoidedBids = true; a bid voided by the timeout with a still-open transaction.</t>
  </si>
  <si>
    <t xml:space="preserve">1. POST a successful callback for that transaction.
2. Check the transaction and Audit Logs.</t>
  </si>
  <si>
    <t>The transaction is marked REVERSED with a resolution note explaining the bid could not be confirmed, and a PAYMENT_FLAGGED_FOR_REFUND audit entry is written. Money taken for nothing is surfaced rather than silently kept.</t>
  </si>
  <si>
    <t>PY-015</t>
  </si>
  <si>
    <t>Reconciliation</t>
  </si>
  <si>
    <t>Manual confirmation requires the approve right and a note</t>
  </si>
  <si>
    <t>A stuck PENDING transaction. One user with payments:update only, one with payments:approve.</t>
  </si>
  <si>
    <t xml:space="preserve">1. As the update-only user, attempt Confirm.
2. As the approver, attempt Confirm with an empty note.
3. Retry with a note.</t>
  </si>
  <si>
    <t>Note: "Gateway callback never arrived — confirmed against statement ref 88213"</t>
  </si>
  <si>
    <t>The update-only user is refused with 403. The empty note is refused with 400. With the approve right and a note the payment becomes SUCCESS, the bid confirms, and PAYMENT_MANUALLY_CONFIRMED is audited with the note.</t>
  </si>
  <si>
    <t>PY-016</t>
  </si>
  <si>
    <t>An already-successful payment cannot be confirmed again</t>
  </si>
  <si>
    <t>A SUCCESS transaction.</t>
  </si>
  <si>
    <t>1. Attempt Confirm.</t>
  </si>
  <si>
    <t>HTTP 409 "This payment is already recorded as successful."</t>
  </si>
  <si>
    <t>PY-017</t>
  </si>
  <si>
    <t>Marking a payment failed also fails its bid</t>
  </si>
  <si>
    <t>A PENDING transaction with a linked bid; payments:update granted.</t>
  </si>
  <si>
    <t xml:space="preserve">1. Mark it failed with a note.
2. Check the bid.</t>
  </si>
  <si>
    <t>Note required</t>
  </si>
  <si>
    <t>The transaction is FAILED with the note, the bid is marked FAILED, and PAYMENT_MANUALLY_FAILED is audited. A SUCCESS payment is refused with a prompt to reverse it instead.</t>
  </si>
  <si>
    <t>PY-018</t>
  </si>
  <si>
    <t>Reversing a payment withdraws the bid and its counters</t>
  </si>
  <si>
    <t>A SUCCESS transaction whose bid is ACTIVE on a live auction. payments:approve granted.</t>
  </si>
  <si>
    <t xml:space="preserve">1. Note the auction bidCount and the bidder totalBids/totalSpent.
2. Reverse the payment with a note.
3. Re-read the bid, the auction and the bidder.</t>
  </si>
  <si>
    <t>Note: "Customer refunded"</t>
  </si>
  <si>
    <t>The transaction becomes REVERSED, the bid becomes REFUNDED with a void reason, the auction bid count decrements and the bidder's totalBids and totalSpent decrease by the bid and its fee. The bid no longer counts toward the result.</t>
  </si>
  <si>
    <t>PY-019</t>
  </si>
  <si>
    <t>Only a successful payment can be reversed</t>
  </si>
  <si>
    <t>A PENDING and a FAILED transaction.</t>
  </si>
  <si>
    <t>1. Attempt to reverse each.</t>
  </si>
  <si>
    <t>Both are refused with HTTP 409 "Only a successful payment can be reversed."</t>
  </si>
  <si>
    <t>PY-020</t>
  </si>
  <si>
    <t>Reversal after settlement is handled deliberately</t>
  </si>
  <si>
    <t>A SETTLED auction whose winning bid was paid for.</t>
  </si>
  <si>
    <t xml:space="preserve">1. Reverse the winning bid's payment.
2. Inspect the auction result, the winner record and the audit trail.</t>
  </si>
  <si>
    <t>The outcome is explicit and recorded — the operator can see what happened to the winner and can re-settle the auction if the result must be recomputed. Record the observed behaviour as the baseline for the runbook.</t>
  </si>
  <si>
    <t>PY-021</t>
  </si>
  <si>
    <t>List</t>
  </si>
  <si>
    <t>The payments list filters and shows resolution history</t>
  </si>
  <si>
    <t>Transactions in PENDING, SUCCESS, FAILED, EXPIRED and REVERSED states.</t>
  </si>
  <si>
    <t xml:space="preserve">1. Open Admin → Payments.
2. Filter by each status and by date.
3. Open a manually resolved payment.</t>
  </si>
  <si>
    <t>Each filter returns only matching rows, and a resolved payment shows who resolved it, when, and the note.</t>
  </si>
  <si>
    <t>UAT Test Cases — Settlement &amp; Winners</t>
  </si>
  <si>
    <t>32 test cases  •  Project: GuessLow (Guess Low, Win Big)  •  Fill in Actual Result, Status, Tester, Execution Date and Defect ID during execution.</t>
  </si>
  <si>
    <t>SW-001</t>
  </si>
  <si>
    <t>Ranking</t>
  </si>
  <si>
    <t>The lowest unique bid wins — the documented example</t>
  </si>
  <si>
    <t>An ENDED auction seeded with exactly these confirmed bids: 1.00 twice, 2.00 once, 3.00 twice, 4.00 once.</t>
  </si>
  <si>
    <t xml:space="preserve">1. Settle the auction.
2. Read the result and the winner.</t>
  </si>
  <si>
    <t>1.00 ×2, 2.00 ×1, 3.00 ×2, 4.00 ×1</t>
  </si>
  <si>
    <t>The unique amounts are 2.00 and 4.00; the winner is the bidder holding 2.00 at rank 1, with 4.00 at rank 2. The lowest bid overall (1.00) does not win because it was matched.</t>
  </si>
  <si>
    <t>SW-002</t>
  </si>
  <si>
    <t>Amounts are compared as fixed 2-decimal values</t>
  </si>
  <si>
    <t>An ENDED auction with one bid recorded as 2 and another as 2.00 from different bidders.</t>
  </si>
  <si>
    <t xml:space="preserve">1. Settle the auction.
2. Inspect the uniqueness flags on both bids.</t>
  </si>
  <si>
    <t>2 and 2.00</t>
  </si>
  <si>
    <t>Both are treated as the same amount, so neither is unique. Float rounding never merges or splits amounts.</t>
  </si>
  <si>
    <t>SW-003</t>
  </si>
  <si>
    <t>Only confirmed bids take part</t>
  </si>
  <si>
    <t>An ENDED auction holding ACTIVE, PENDING_PAYMENT, FAILED, VOID and REFUNDED bids, including a low unique amount that is unpaid.</t>
  </si>
  <si>
    <t xml:space="preserve">1. Settle the auction.
2. Check whether the unpaid low bid won.</t>
  </si>
  <si>
    <t>Unpaid 1.00; paid unique 9.00</t>
  </si>
  <si>
    <t>Only ACTIVE bids are ranked. The unpaid 1.00 is ignored entirely and the winner is the holder of 9.00.</t>
  </si>
  <si>
    <t>SW-004</t>
  </si>
  <si>
    <t>No unique amount means no winner</t>
  </si>
  <si>
    <t>An ENDED auction where every amount is held by at least two bids.</t>
  </si>
  <si>
    <t xml:space="preserve">1. Settle it.
2. Read the result and the re-auction state.</t>
  </si>
  <si>
    <t>All amounts duplicated</t>
  </si>
  <si>
    <t>The auction settles with no winner, no Winner row is created, and the re-auction rules pick it up with a reason naming the absence of a unique bid.</t>
  </si>
  <si>
    <t>SW-005</t>
  </si>
  <si>
    <t>Turnout floor</t>
  </si>
  <si>
    <t>A thin round is not awarded when a floor is set</t>
  </si>
  <si>
    <t>An ENDED auction with reauctionEnabled = true, reauctionMinBids = 10 and only 4 confirmed bids, one of them unique.</t>
  </si>
  <si>
    <t xml:space="preserve">1. Settle it.
2. Read the reason.</t>
  </si>
  <si>
    <t>minBids 10, 4 bids placed</t>
  </si>
  <si>
    <t>No prize is awarded even though a unique amount exists. The reason names the confirmed bid count and the required floor, and the auction is picked up for re-auction. A three-bid auction does not hand over a phone.</t>
  </si>
  <si>
    <t>SW-006</t>
  </si>
  <si>
    <t>The floor is ignored when re-auction is disabled</t>
  </si>
  <si>
    <t>The same thin round but with reauctionEnabled = false.</t>
  </si>
  <si>
    <t>1. Settle it.</t>
  </si>
  <si>
    <t>minBids 10, re-auction off, 4 bids</t>
  </si>
  <si>
    <t>The unique bid wins. Without a next round the floor would strand the item with nobody to award it to, so it does not apply.</t>
  </si>
  <si>
    <t>SW-007</t>
  </si>
  <si>
    <t>Result</t>
  </si>
  <si>
    <t>Runner-ups are recorded to the configured depth</t>
  </si>
  <si>
    <t>winners.runnerUpDepth = 3; an ENDED auction with at least five unique amounts.</t>
  </si>
  <si>
    <t xml:space="preserve">1. Settle it.
2. Inspect the recorded result rows.</t>
  </si>
  <si>
    <t>runnerUpDepth 3</t>
  </si>
  <si>
    <t>Four result rows are stored — the winner plus three runner-ups — ranked 1 to 4 in ascending amount order.</t>
  </si>
  <si>
    <t>SW-008</t>
  </si>
  <si>
    <t>Uniqueness flags only appear at settlement</t>
  </si>
  <si>
    <t xml:space="preserve">1. Inspect the bids before settlement.
2. Settle the auction.
3. Inspect them again.</t>
  </si>
  <si>
    <t>Before settlement isUnique is null on every bid. Afterwards it is true/false on each, and rankAtSettlement is stamped only on the retained ranks.</t>
  </si>
  <si>
    <t>SW-009</t>
  </si>
  <si>
    <t>Winner</t>
  </si>
  <si>
    <t>The winner record carries the claim deadline</t>
  </si>
  <si>
    <t>winners.claimWindowHours = 72.</t>
  </si>
  <si>
    <t xml:space="preserve">1. Settle an auction with a valid winner.
2. Open the Winner record and the mini-app /wins page.</t>
  </si>
  <si>
    <t>claimWindowHours 72</t>
  </si>
  <si>
    <t>A Winner row is created at PENDING_CLAIM with a deadline 72 hours out, the bidder's winsCount increments by one, and the mini-app shows the deadline.</t>
  </si>
  <si>
    <t>SW-010</t>
  </si>
  <si>
    <t>Auto-settle</t>
  </si>
  <si>
    <t>Ended auctions settle themselves after the grace period</t>
  </si>
  <si>
    <t>winners.autoSettle = true and winners.settleGraceMinutes = 5; an auction that ended 6 minutes ago.</t>
  </si>
  <si>
    <t xml:space="preserve">1. Let the tick run (or run it manually).
2. Check the auction status.</t>
  </si>
  <si>
    <t>graceMinutes 5</t>
  </si>
  <si>
    <t>The auction moves to SETTLED with its result computed and the winner notified, with no manual action. An auction that ended 2 minutes ago is left alone until the grace period elapses.</t>
  </si>
  <si>
    <t>SW-011</t>
  </si>
  <si>
    <t>Auto-settle can be switched off</t>
  </si>
  <si>
    <t>winners.autoSettle = false; an ended auction past the grace period.</t>
  </si>
  <si>
    <t xml:space="preserve">1. Run the tick.
2. Check the auction.</t>
  </si>
  <si>
    <t>The auction stays ENDED and waits for a manual settlement. It appears in the dashboard "needs attention" queue.</t>
  </si>
  <si>
    <t>SW-012</t>
  </si>
  <si>
    <t>Manual settle</t>
  </si>
  <si>
    <t>Manual settlement requires the approve right on Auctions</t>
  </si>
  <si>
    <t>An ENDED auction. One user with auctions:update only, one with auctions:approve.</t>
  </si>
  <si>
    <t>1. Attempt Settle as each user.</t>
  </si>
  <si>
    <t>The update-only user is refused with 403. The approver settles it — settlement is a second-pair-of-eyes right.</t>
  </si>
  <si>
    <t>SW-013</t>
  </si>
  <si>
    <t>Only an ended auction can be settled</t>
  </si>
  <si>
    <t>A LIVE and a SETTLED auction.</t>
  </si>
  <si>
    <t xml:space="preserve">1. Attempt Settle on the live one.
2. Attempt Settle (not re-settle) on the settled one.</t>
  </si>
  <si>
    <t>Both are refused with HTTP 409 and a message naming the required status.</t>
  </si>
  <si>
    <t>SW-014</t>
  </si>
  <si>
    <t>Re-settle</t>
  </si>
  <si>
    <t>Re-settling recomputes and replaces the previous snapshot</t>
  </si>
  <si>
    <t>A SETTLED auction with a winner. Note the bidder's winsCount.</t>
  </si>
  <si>
    <t xml:space="preserve">1. Re-settle it.
2. Compare the result rows, the winner and the bidder's winsCount.
3. Check Audit Logs.</t>
  </si>
  <si>
    <t>The previous result snapshot is discarded and recomputed, the discarded win stops counting so winsCount is not inflated, and an AUCTION_RESETTLED audit entry is written.</t>
  </si>
  <si>
    <t>SW-015</t>
  </si>
  <si>
    <t>Only a settled auction can be re-settled</t>
  </si>
  <si>
    <t>An ENDED auction.</t>
  </si>
  <si>
    <t>1. Attempt Re-settle.</t>
  </si>
  <si>
    <t>HTTP 409 "Only a settled auction can be re-settled."</t>
  </si>
  <si>
    <t>SW-016</t>
  </si>
  <si>
    <t>Re-settling never forks a chain that already produced a re-auction</t>
  </si>
  <si>
    <t>A settled auction whose re-auction round has already been created.</t>
  </si>
  <si>
    <t xml:space="preserve">1. Re-settle the parent.
2. Check the chain.</t>
  </si>
  <si>
    <t>The result is reported and recomputed, but no second re-auction round is created and the existing lineage is untouched.</t>
  </si>
  <si>
    <t>SW-017</t>
  </si>
  <si>
    <t>Settlement is idempotent</t>
  </si>
  <si>
    <t xml:space="preserve">1. Run the settlement pass twice more.
2. Compare the winner, the result rows and the bidder win counts.</t>
  </si>
  <si>
    <t>Nothing changes on the second and third passes — an already-settled auction is left alone unless force is used.</t>
  </si>
  <si>
    <t>SW-018</t>
  </si>
  <si>
    <t>Maker-checker</t>
  </si>
  <si>
    <t>Settlement can be routed through approval</t>
  </si>
  <si>
    <t>security.requireApprovalForSettlement = true; a maker and an approver.</t>
  </si>
  <si>
    <t xml:space="preserve">1. As the maker, settle an ended auction.
2. Check the auction.
3. Approve the request as the approver.</t>
  </si>
  <si>
    <t>The first action queues a PendingChange with a SETTLE action instead of settling. Once approved, the auction settles and the settlement is attributed to the approver.</t>
  </si>
  <si>
    <t>SW-019</t>
  </si>
  <si>
    <t>Claim</t>
  </si>
  <si>
    <t>A winner claims by submitting delivery details</t>
  </si>
  <si>
    <t>A PENDING_CLAIM win inside its claim window; the winning bidder has a session.</t>
  </si>
  <si>
    <t xml:space="preserve">1. Open /wins.
2. Submit the claim with name, phone and address.
3. Check the record in Admin → Winners.</t>
  </si>
  <si>
    <t>Name, contact number, address</t>
  </si>
  <si>
    <t>The win moves to CLAIMED with claimedAt stamped and the delivery details stored, and a PRIZE_CLAIMED audit entry is written.</t>
  </si>
  <si>
    <t>SW-020</t>
  </si>
  <si>
    <t>Incomplete claim details are refused</t>
  </si>
  <si>
    <t>A PENDING_CLAIM win.</t>
  </si>
  <si>
    <t xml:space="preserve">1. Submit with an empty name.
2. Submit with an empty phone.
3. Submit with an empty address.</t>
  </si>
  <si>
    <t>Each returns HTTP 400 naming the missing field. Nothing is stored until all three are supplied.</t>
  </si>
  <si>
    <t>SW-021</t>
  </si>
  <si>
    <t>A claim after the deadline is refused</t>
  </si>
  <si>
    <t>A PENDING_CLAIM win whose claimDeadline has passed.</t>
  </si>
  <si>
    <t>1. Attempt to claim.</t>
  </si>
  <si>
    <t>HTTP 409 "The claim window for this prize has closed."</t>
  </si>
  <si>
    <t>SW-022</t>
  </si>
  <si>
    <t>A forfeited or already-claimed prize cannot be claimed again</t>
  </si>
  <si>
    <t>One FORFEITED win and one CLAIMED win.</t>
  </si>
  <si>
    <t>1. Attempt to claim each.</t>
  </si>
  <si>
    <t>The forfeited one returns "This prize can no longer be claimed."; the claimed one returns "This prize has already been claimed."</t>
  </si>
  <si>
    <t>SW-023</t>
  </si>
  <si>
    <t>A bidder cannot claim someone else's prize</t>
  </si>
  <si>
    <t>Bidder A holds a PENDING_CLAIM win; bidder B has a session.</t>
  </si>
  <si>
    <t>1. As bidder B, POST /api/miniapp/wins with bidder A's winnerId.</t>
  </si>
  <si>
    <t>Another bidder's winnerId</t>
  </si>
  <si>
    <t>HTTP 404 "Win not found." — the record is scoped to the caller. Nothing is changed.</t>
  </si>
  <si>
    <t>SW-024</t>
  </si>
  <si>
    <t>Fulfilment</t>
  </si>
  <si>
    <t>Verify and fulfil follow the documented order</t>
  </si>
  <si>
    <t>One PENDING_CLAIM, one CLAIMED and one VERIFIED win. winners:update granted.</t>
  </si>
  <si>
    <t xml:space="preserve">1. Attempt Verify on the pending one.
2. Verify the claimed one.
3. Mark the verified one delivered with a fulfilment reference.</t>
  </si>
  <si>
    <t>Fulfilment ref: DLV-0091</t>
  </si>
  <si>
    <t>Verify is refused on the unclaimed prize (409). The claimed one becomes VERIFIED. Marking delivered sets FULFILLED with the reference and sends the PRIZE_FULFILLED message.</t>
  </si>
  <si>
    <t>SW-025</t>
  </si>
  <si>
    <t>Forfeiture requires a reason and withdraws the win</t>
  </si>
  <si>
    <t>A PENDING_CLAIM win; note the bidder's winsCount.</t>
  </si>
  <si>
    <t xml:space="preserve">1. Forfeit with an empty reason.
2. Forfeit with a reason.
3. Re-read the bidder.
4. Attempt to forfeit a FULFILLED prize.</t>
  </si>
  <si>
    <t>Reason: "Claim window expired"</t>
  </si>
  <si>
    <t>The empty reason is refused. With a reason the win becomes FORFEITED and the bidder's winsCount decrements. A delivered prize cannot be forfeited (409).</t>
  </si>
  <si>
    <t>SW-026</t>
  </si>
  <si>
    <t>Promoting a runner-up requires the approve right</t>
  </si>
  <si>
    <t>A FORFEITED win with a recorded runner-up. One user with winners:update only.</t>
  </si>
  <si>
    <t xml:space="preserve">1. Attempt Promote as the update-only user.
2. Retry as a user with winners:approve.</t>
  </si>
  <si>
    <t>The first attempt is refused with 403; the second promotes the rank-2 bidder to a new PENDING_CLAIM win with a fresh deadline, increments their winsCount and notifies them.</t>
  </si>
  <si>
    <t>SW-027</t>
  </si>
  <si>
    <t>Promotion is only possible after a forfeit</t>
  </si>
  <si>
    <t>A PENDING_CLAIM or CLAIMED win.</t>
  </si>
  <si>
    <t>1. Attempt Promote.</t>
  </si>
  <si>
    <t>HTTP 409 "The current winner has not forfeited."</t>
  </si>
  <si>
    <t>SW-028</t>
  </si>
  <si>
    <t>A forfeit with no runner-up left falls back to re-auction</t>
  </si>
  <si>
    <t>A FORFEITED win on an auction whose result holds no rank-2 row; re-auction enabled with rounds remaining.</t>
  </si>
  <si>
    <t xml:space="preserve">1. Attempt Promote.
2. Read the response and check the auction.</t>
  </si>
  <si>
    <t>The response is a success that explains no runner-up was available and reports the re-auction — either the new round's code, or that the auction is flagged for re-auction. It is not returned as a bare error.</t>
  </si>
  <si>
    <t>SW-029</t>
  </si>
  <si>
    <t>Notification</t>
  </si>
  <si>
    <t>The winner is notified with amount, code and deadline</t>
  </si>
  <si>
    <t>notifications.onWin = true; a reachable test handset.</t>
  </si>
  <si>
    <t xml:space="preserve">1. Settle an auction with a valid winner.
2. Read the SMS.</t>
  </si>
  <si>
    <t>A WINNER_ANNOUNCED message arrives quoting the item, auction code, winning amount, currency and claim deadline, in the bidder's language.</t>
  </si>
  <si>
    <t>SW-030</t>
  </si>
  <si>
    <t>A claim reminder can be resent for an unclaimed prize</t>
  </si>
  <si>
    <t>A PENDING_CLAIM win and a CLAIMED win.</t>
  </si>
  <si>
    <t>1. Send a reminder for each from Admin → Winners.</t>
  </si>
  <si>
    <t>The pending one sends a WINNER_REMINDER quoting the deadline. The claimed one is refused with 409 — reminders are only for unclaimed prizes.</t>
  </si>
  <si>
    <t>SW-031</t>
  </si>
  <si>
    <t>Privacy</t>
  </si>
  <si>
    <t>The winner's phone number is published only when configured</t>
  </si>
  <si>
    <t>winners.publishWinnerPhone = false.</t>
  </si>
  <si>
    <t xml:space="preserve">1. Open a settled auction in the mini-app as another bidder.
2. Turn the setting on and reload.</t>
  </si>
  <si>
    <t>With the setting off the winner's number is not shown (masked or absent). With it on it is displayed as configured.</t>
  </si>
  <si>
    <t>SW-032</t>
  </si>
  <si>
    <t>A messaging failure does not undo a settlement</t>
  </si>
  <si>
    <t>SMS_API_URL pointed at an unreachable host.</t>
  </si>
  <si>
    <t xml:space="preserve">1. Settle an auction with a winner.
2. Check the auction, the winner and the delivery log.</t>
  </si>
  <si>
    <t>Unreachable SMS endpoint</t>
  </si>
  <si>
    <t>The auction is SETTLED and the Winner row exists. The message is recorded as failed in the delivery log; the settlement is not rolled back.</t>
  </si>
  <si>
    <t>UAT Test Cases — Re-Auctions</t>
  </si>
  <si>
    <t>19 test cases  •  Project: GuessLow (Guess Low, Win Big)  •  Fill in Actual Result, Status, Tester, Execution Date and Defect ID during execution.</t>
  </si>
  <si>
    <t>RA-001</t>
  </si>
  <si>
    <t>Re-Auctions</t>
  </si>
  <si>
    <t>Creation</t>
  </si>
  <si>
    <t>A round with no valid winner opens the next one automatically</t>
  </si>
  <si>
    <t>reauction.autoCreate = true; an auction with reauctionEnabled, rounds remaining, that settles with no unique bid.</t>
  </si>
  <si>
    <t xml:space="preserve">1. Settle the auction.
2. Check the auction list.</t>
  </si>
  <si>
    <t>A new Auction row is created for the same item with the same rules, and the settled parent records reauctionState CREATED.</t>
  </si>
  <si>
    <t>RA-002</t>
  </si>
  <si>
    <t>With automatic creation off the round waits for an operator</t>
  </si>
  <si>
    <t>reauction.autoCreate = false; the same no-winner settlement.</t>
  </si>
  <si>
    <t xml:space="preserve">1. Settle the auction.
2. Check its re-auction state.
3. Open the auction page and use the re-auction action.</t>
  </si>
  <si>
    <t>The auction is flagged PENDING with a reason. No round exists until the operator opens one from the auction page, and then it is created.</t>
  </si>
  <si>
    <t>RA-003</t>
  </si>
  <si>
    <t>Automatic publishing is governed by its own setting</t>
  </si>
  <si>
    <t>reauction.autoCreate = true and reauction.autoPublish = false.</t>
  </si>
  <si>
    <t xml:space="preserve">1. Trigger an automatic re-auction.
2. Check the new round's status.
3. Set autoPublish = true and repeat on another auction.</t>
  </si>
  <si>
    <t>With autoPublish off the new round is created as a DRAFT for review. With it on the round is published and opens on schedule.</t>
  </si>
  <si>
    <t>RA-004</t>
  </si>
  <si>
    <t>Lineage</t>
  </si>
  <si>
    <t>The chain is coded and linked end to end</t>
  </si>
  <si>
    <t>An auction with code 195 that runs out to a second re-auction round.</t>
  </si>
  <si>
    <t xml:space="preserve">1. Let the chain reach round 2.
2. Read the codes and the parent/original links.</t>
  </si>
  <si>
    <t>Code 195</t>
  </si>
  <si>
    <t>Codes run 195 → 195-R1 → 195-R2. Each round records its predecessor and the root of the chain, so the whole lineage is one query and the auction page shows it.</t>
  </si>
  <si>
    <t>RA-005</t>
  </si>
  <si>
    <t>Rules</t>
  </si>
  <si>
    <t>The configured round limit stops the chain</t>
  </si>
  <si>
    <t>maxReauctionRounds = 1; a round-1 auction that settles with no winner.</t>
  </si>
  <si>
    <t xml:space="preserve">1. Settle it.
2. Read the state and reason.</t>
  </si>
  <si>
    <t>maxReauctionRounds 1</t>
  </si>
  <si>
    <t>The state is EXHAUSTED, the reason names the number of rounds used, and no further round is created.</t>
  </si>
  <si>
    <t>RA-006</t>
  </si>
  <si>
    <t>Re-auction disabled means the auction simply closes unsold</t>
  </si>
  <si>
    <t>reauctionEnabled = false; an auction that settles with no unique bid.</t>
  </si>
  <si>
    <t>The state is DISABLED with a reason saying re-auction is switched off. No round is created.</t>
  </si>
  <si>
    <t>RA-007</t>
  </si>
  <si>
    <t>A round nobody could bid in is never opened</t>
  </si>
  <si>
    <t>reauctionAllowNewBidders = false and reauctionAllowPreviousBidders = false; a no-winner settlement.</t>
  </si>
  <si>
    <t xml:space="preserve">1. Settle it.
2. Attempt an operator-forced re-auction as well.</t>
  </si>
  <si>
    <t>Both participation flags off</t>
  </si>
  <si>
    <t>The state is BLOCKED with a reason explaining the rules admit neither new nor previous bidders. No round is created, and even the operator-forced path refuses it.</t>
  </si>
  <si>
    <t>RA-008</t>
  </si>
  <si>
    <t>Participation</t>
  </si>
  <si>
    <t>New bidders can be excluded from a re-run</t>
  </si>
  <si>
    <t>A round-2 auction with reauctionAllowNewBidders = false; a bidder who never bid in round 1.</t>
  </si>
  <si>
    <t>1. As that bidder, attempt a valid bid.</t>
  </si>
  <si>
    <t>HTTP 403 REAUCTION_NOT_ELIGIBLE with the reason, checked before any fee is discussed.</t>
  </si>
  <si>
    <t>RA-009</t>
  </si>
  <si>
    <t>Previous bidders can be excluded from a re-run</t>
  </si>
  <si>
    <t>A round-2 auction with reauctionAllowPreviousBidders = false; a bidder who bid in round 1.</t>
  </si>
  <si>
    <t>HTTP 403 REAUCTION_NOT_ELIGIBLE. The mini-app explains the round is closed to them rather than failing silently.</t>
  </si>
  <si>
    <t>RA-010</t>
  </si>
  <si>
    <t>Credits</t>
  </si>
  <si>
    <t>Bids paid for in earlier rounds are carried forward</t>
  </si>
  <si>
    <t>A bidder who paid for 5 bids in round 1; round 2 has opened.</t>
  </si>
  <si>
    <t xml:space="preserve">1. Open the round-2 auction page as that bidder.
2. Read the carried-bid indicator.
3. Place 8 bids.
4. Check the fee on each.</t>
  </si>
  <si>
    <t>5 paid in round 1, 8 placed in round 2</t>
  </si>
  <si>
    <t>The page states 5 prepaid bids are available. The first 5 are recorded with feeAmount 0 and carriedOver true; only bids 6, 7 and 8 raise a charge.</t>
  </si>
  <si>
    <t>RA-011</t>
  </si>
  <si>
    <t>The pool grows with each round so nobody pays twice</t>
  </si>
  <si>
    <t>Continuing RA-010: 3 bids were charged in round 2, giving 8 paid bids across rounds 1–2. Round 3 opens.</t>
  </si>
  <si>
    <t xml:space="preserve">1. Open round 3 as that bidder.
2. Read the carried-bid count.
3. Place 8 bids and check every fee.</t>
  </si>
  <si>
    <t>8 credits available</t>
  </si>
  <si>
    <t>Round 3 grants 8 credits and all 8 bids are free. Across the whole chain the bidder only ever pays for the largest single round they played.</t>
  </si>
  <si>
    <t>RA-012</t>
  </si>
  <si>
    <t>A failed or expired carried bid returns its credit</t>
  </si>
  <si>
    <t>A bidder with 2 carried credits in a re-auction round.</t>
  </si>
  <si>
    <t xml:space="preserve">1. Place a carried bid and force it to fail or let it expire.
2. Re-read the remaining credit count.
3. Place another bid.</t>
  </si>
  <si>
    <t>The credit is handed back — the remaining count returns to 2 — and the next bid is still free. A bid that never counted does not burn a prepaid bid.</t>
  </si>
  <si>
    <t>RA-013</t>
  </si>
  <si>
    <t>Two concurrent bids cannot spend the same credit</t>
  </si>
  <si>
    <t>A bidder with exactly 1 carried credit.</t>
  </si>
  <si>
    <t xml:space="preserve">1. Fire two bid requests at the same instant.
2. Inspect the fee on each resulting bid.</t>
  </si>
  <si>
    <t>Exactly one bid is free; the other carries the full fee. The credit is spent by a single conditional update, so it cannot be double-spent.</t>
  </si>
  <si>
    <t>RA-014</t>
  </si>
  <si>
    <t>Carried bids are excluded from revenue</t>
  </si>
  <si>
    <t>A round with a mix of carried and charged bids.</t>
  </si>
  <si>
    <t xml:space="preserve">1. Open Reports for the period.
2. Compare fee income with the number of charged bids.</t>
  </si>
  <si>
    <t>Income reflects only the fee-bearing bids. Counting fee-bearing bids counts each paid bid exactly once, however deep the chain runs.</t>
  </si>
  <si>
    <t>RA-015</t>
  </si>
  <si>
    <t>Everyone from the previous round is told what happened</t>
  </si>
  <si>
    <t>notifications.onReauction = true; a chain where round 2 admits previous bidders and another where it does not.</t>
  </si>
  <si>
    <t>1. Open each round and read the messages received by a round-1 bidder.</t>
  </si>
  <si>
    <t>Reachable test handsets</t>
  </si>
  <si>
    <t>Where they may take part they receive AUCTION_REAUCTIONED stating the auction is being re-run, how many paid bids came with them and from which bid a fee starts again. Where they are excluded they receive REAUCTION_EXCLUDED instead.</t>
  </si>
  <si>
    <t>RA-016</t>
  </si>
  <si>
    <t>Restricted</t>
  </si>
  <si>
    <t>A restricted auction stays restricted across the chain</t>
  </si>
  <si>
    <t>A RESTRICTED auction with an uploaded list that settles with no winner and re-auctions.</t>
  </si>
  <si>
    <t xml:space="preserve">1. Let the round open.
2. Check the new round's participant list.
3. Attempt a bid as someone not on the list.</t>
  </si>
  <si>
    <t>The list is copied onto the new round, so the chain does not quietly reopen to everyone. The uninvited bidder is still turned away.</t>
  </si>
  <si>
    <t>RA-017</t>
  </si>
  <si>
    <t>Display</t>
  </si>
  <si>
    <t>The auction page shows the chain and the carried bids</t>
  </si>
  <si>
    <t>A chain at round 2 with several bidders holding credits.</t>
  </si>
  <si>
    <t xml:space="preserve">1. Open the round-2 auction in the console.
2. Read the chain panel and the carried-bid table.</t>
  </si>
  <si>
    <t>The full lineage is listed with each round's outcome, and the carried bids per bidder are shown with how many are still unspent.</t>
  </si>
  <si>
    <t>RA-018</t>
  </si>
  <si>
    <t>Operator action</t>
  </si>
  <si>
    <t>A forced re-auction bypasses the config but not the safety guard</t>
  </si>
  <si>
    <t>A SETTLED auction whose state is EXHAUSTED or DISABLED, and one whose state is BLOCKED.</t>
  </si>
  <si>
    <t>1. Use the operator re-auction action on each.</t>
  </si>
  <si>
    <t>The exhausted and disabled ones are re-auctioned — the operator has made the judgement call. The BLOCKED one is still refused, because that round could not function.</t>
  </si>
  <si>
    <t>RA-019</t>
  </si>
  <si>
    <t>An auction already re-auctioned cannot be re-auctioned twice</t>
  </si>
  <si>
    <t>A settled auction whose re-auction round already exists.</t>
  </si>
  <si>
    <t>1. Use the re-auction action again.</t>
  </si>
  <si>
    <t>HTTP 409 "This auction has already been re-auctioned."</t>
  </si>
  <si>
    <t>UAT Test Cases — Catalogue &amp; Content</t>
  </si>
  <si>
    <t>22 test cases  •  Project: GuessLow (Guess Low, Win Big)  •  Fill in Actual Result, Status, Tester, Execution Date and Defect ID during execution.</t>
  </si>
  <si>
    <t>CC-001</t>
  </si>
  <si>
    <t>Catalogue &amp; Content</t>
  </si>
  <si>
    <t>Categories</t>
  </si>
  <si>
    <t>A category is created bilingually with artwork</t>
  </si>
  <si>
    <t>categories:create granted.</t>
  </si>
  <si>
    <t xml:space="preserve">1. Create a category with English and Amharic names, a slug, a display order and an image.
2. Check the mini-app catalogue in both languages.</t>
  </si>
  <si>
    <t>Mobile Phones / ሞባይል ስልኮች</t>
  </si>
  <si>
    <t>The category is created and appears in the mini-app with the right name for each language, in the configured display order.</t>
  </si>
  <si>
    <t>CC-002</t>
  </si>
  <si>
    <t>A category in use cannot be removed outright</t>
  </si>
  <si>
    <t>A category referenced by at least one item or auction.</t>
  </si>
  <si>
    <t>1. Attempt to delete it.</t>
  </si>
  <si>
    <t>The deletion is refused or the category is deactivated instead, and the existing items and auctions keep their category. No orphaned references are created.</t>
  </si>
  <si>
    <t>CC-003</t>
  </si>
  <si>
    <t>Items</t>
  </si>
  <si>
    <t>An item is created with a gallery and a retail price</t>
  </si>
  <si>
    <t>items:create granted; a category exists.</t>
  </si>
  <si>
    <t xml:space="preserve">1. Create an item with a name, description, category, retail price and three images.
2. Save and reopen it.</t>
  </si>
  <si>
    <t>Retail price 24,500.00</t>
  </si>
  <si>
    <t>The item is stored with all three images in order, and the retail price is used later as the prize cost in Reports.</t>
  </si>
  <si>
    <t>CC-004</t>
  </si>
  <si>
    <t>An item referenced by an auction is deactivated, not deleted</t>
  </si>
  <si>
    <t>An item used by at least one auction.</t>
  </si>
  <si>
    <t xml:space="preserve">1. Attempt to delete it.
2. Check the auction that uses it.</t>
  </si>
  <si>
    <t>The item is set INACTIVE rather than removed, so it disappears from the picker for new auctions while the existing auction still renders correctly.</t>
  </si>
  <si>
    <t>CC-005</t>
  </si>
  <si>
    <t>Uploads</t>
  </si>
  <si>
    <t>Supported image formats upload from the device</t>
  </si>
  <si>
    <t>items:update or content permissions granted.</t>
  </si>
  <si>
    <t xml:space="preserve">1. Drag a PNG onto the drop zone.
2. Use the picker for a JPEG.
3. Repeat for WebP, GIF and AVIF.</t>
  </si>
  <si>
    <t>One file of each format, each under 5 MB</t>
  </si>
  <si>
    <t>All five upload and return a URL that renders. The stored filename is generated by the server, not taken from the upload.</t>
  </si>
  <si>
    <t>CC-006</t>
  </si>
  <si>
    <t>An SVG is refused</t>
  </si>
  <si>
    <t>Upload permission granted.</t>
  </si>
  <si>
    <t>1. Attempt to upload an .svg file.</t>
  </si>
  <si>
    <t>Any SVG</t>
  </si>
  <si>
    <t>HTTP 415 "Only PNG, JPEG, WebP, GIF and AVIF images are accepted." SVG can carry script and would run from the app's own origin.</t>
  </si>
  <si>
    <t>CC-007</t>
  </si>
  <si>
    <t>The format is identified by content, not by name</t>
  </si>
  <si>
    <t xml:space="preserve">1. Rename an .svg to .png and upload it.
2. Rename a .txt to .jpg and upload it.
3. Upload a real PNG with the wrong declared MIME type.</t>
  </si>
  <si>
    <t>Renamed files</t>
  </si>
  <si>
    <t>The first two are refused — the magic number does not match a permitted format. The genuine PNG is accepted despite its declared type, because the content is what is checked.</t>
  </si>
  <si>
    <t>CC-008</t>
  </si>
  <si>
    <t>Oversized and empty files are refused</t>
  </si>
  <si>
    <t xml:space="preserve">1. Upload a 6 MB image.
2. Upload a 0-byte file.
3. Upload an image just under 5 MB.</t>
  </si>
  <si>
    <t>6 MB / 0 B / 4.9 MB</t>
  </si>
  <si>
    <t>The 6 MB file returns HTTP 413 naming the size and the 5 MB limit; the empty file returns 400; the 4.9 MB file uploads.</t>
  </si>
  <si>
    <t>CC-009</t>
  </si>
  <si>
    <t>Uploading requires a catalogue or content permission</t>
  </si>
  <si>
    <t>A user whose role has none of items, categories or content.</t>
  </si>
  <si>
    <t>1. POST a valid image to the upload endpoint with that session.</t>
  </si>
  <si>
    <t>HTTP 403 "You do not have permission to upload images." Nothing is written to disk.</t>
  </si>
  <si>
    <t>CC-010</t>
  </si>
  <si>
    <t>Uploads cannot escape the uploads folder or overwrite files</t>
  </si>
  <si>
    <t xml:space="preserve">1. Upload a file named ../../secret.png.
2. Upload two files with the same original name.
3. Inspect the stored filenames.</t>
  </si>
  <si>
    <t>Traversal-style filename</t>
  </si>
  <si>
    <t>Both are stored under server-generated names inside the uploads folder. Nothing is written outside it and the second upload does not overwrite the first.</t>
  </si>
  <si>
    <t>CC-011</t>
  </si>
  <si>
    <t>Every upload is audited</t>
  </si>
  <si>
    <t xml:space="preserve">1. Upload an image.
2. Find the audit entry.</t>
  </si>
  <si>
    <t>An upload entry names the actor, the stored file and its size.</t>
  </si>
  <si>
    <t>CC-012</t>
  </si>
  <si>
    <t>A pasted CDN URL is still accepted</t>
  </si>
  <si>
    <t>An image already hosted elsewhere.</t>
  </si>
  <si>
    <t>1. Use "use a URL instead" on an item image, a category image and a banner.</t>
  </si>
  <si>
    <t>An https image URL</t>
  </si>
  <si>
    <t>The URL is stored and rendered. Both routes — device upload and pasted URL — work for every artwork field.</t>
  </si>
  <si>
    <t>CC-013</t>
  </si>
  <si>
    <t>Banners</t>
  </si>
  <si>
    <t>Home banners are managed and rendered in order</t>
  </si>
  <si>
    <t>content.banners create/update granted.</t>
  </si>
  <si>
    <t xml:space="preserve">1. Create three banners with images, links and display orders.
2. Deactivate one.
3. Open the mini-app home.</t>
  </si>
  <si>
    <t>Three banners</t>
  </si>
  <si>
    <t>The two active banners appear in the carousel in display order; the deactivated one does not appear.</t>
  </si>
  <si>
    <t>CC-014</t>
  </si>
  <si>
    <t>Banner input is validated</t>
  </si>
  <si>
    <t>content.banners create granted.</t>
  </si>
  <si>
    <t xml:space="preserve">1. Save a banner with no title.
2. Save one with no image.</t>
  </si>
  <si>
    <t>Each returns HTTP 400 naming the missing field.</t>
  </si>
  <si>
    <t>CC-015</t>
  </si>
  <si>
    <t>An ad requires an image, a message, or both</t>
  </si>
  <si>
    <t>content.ads create granted.</t>
  </si>
  <si>
    <t xml:space="preserve">1. Save an ad with a title only.
2. Add a message and save.
3. Replace the message with an image and save.</t>
  </si>
  <si>
    <t>The first is refused with "An ad needs an image, a message, or both."; the other two are accepted.</t>
  </si>
  <si>
    <t>CC-016</t>
  </si>
  <si>
    <t>Ad timings are validated against each other</t>
  </si>
  <si>
    <t xml:space="preserve">1. Set minViewSeconds 10 and autoCloseSeconds 5 and save.
2. Set autoClose 0 and save.
3. Set minView 60 and save.</t>
  </si>
  <si>
    <t>The first is refused because auto-close must be at least as long as the forced view. autoClose 0 is accepted (the popup stays up). The forced view is capped at 30 seconds and auto-close at 120, so a typo cannot trap a bidder in the popup.</t>
  </si>
  <si>
    <t>CC-017</t>
  </si>
  <si>
    <t>Ad scheduling controls when it appears</t>
  </si>
  <si>
    <t>content.ads granted; ads.enabled = true.</t>
  </si>
  <si>
    <t xml:space="preserve">1. Create an ad scheduled to start tomorrow.
2. Connect a mini-app session.
3. Change the start to now and reconnect.</t>
  </si>
  <si>
    <t>The future-dated ad does not appear; once the schedule opens it does. An expired ad stops appearing.</t>
  </si>
  <si>
    <t>CC-018</t>
  </si>
  <si>
    <t>A new terms version is created and activated</t>
  </si>
  <si>
    <t>content.terms create granted; version 1 is currently active.</t>
  </si>
  <si>
    <t xml:space="preserve">1. Create version 2 with English and Amharic content and mark it active.
2. Check version 1.
3. Open the mini-app bid form.</t>
  </si>
  <si>
    <t>Version 2</t>
  </si>
  <si>
    <t>Version 2 is active and version 1 is automatically deactivated — exactly one active version at a time. The bid form and profile show version 2.</t>
  </si>
  <si>
    <t>CC-019</t>
  </si>
  <si>
    <t>Terms input is validated</t>
  </si>
  <si>
    <t>content.terms create granted.</t>
  </si>
  <si>
    <t xml:space="preserve">1. Save with no version.
2. Save with no title.
3. Save with no English content.</t>
  </si>
  <si>
    <t>Each returns HTTP 400 naming the missing field. Amharic content is optional; the English body is not.</t>
  </si>
  <si>
    <t>CC-020</t>
  </si>
  <si>
    <t>Participant lists</t>
  </si>
  <si>
    <t>A saved participant list can be reused across auctions</t>
  </si>
  <si>
    <t>content permissions granted.</t>
  </si>
  <si>
    <t xml:space="preserve">1. Create a saved list and import entries into it.
2. Apply it to auction A.
3. Apply the same list to auction B.
4. Edit the saved list and check both auctions.</t>
  </si>
  <si>
    <t>A 40-number staff list</t>
  </si>
  <si>
    <t>Both auctions receive the numbers. The relationship between the saved list and an auction's applied list behaves as designed — record the observed behaviour so operators know whether later edits propagate.</t>
  </si>
  <si>
    <t>CC-021</t>
  </si>
  <si>
    <t>Branding</t>
  </si>
  <si>
    <t>Branding changes reach the mini-app</t>
  </si>
  <si>
    <t>content.branding granted.</t>
  </si>
  <si>
    <t xml:space="preserve">1. Upload a new app icon and change the platform name and tagline.
2. Open the mini-app.</t>
  </si>
  <si>
    <t>The new icon, name and tagline are rendered in the mini-app shell and on the browser tab.</t>
  </si>
  <si>
    <t>CC-022</t>
  </si>
  <si>
    <t>Permissions</t>
  </si>
  <si>
    <t>Content tabs are permissioned independently</t>
  </si>
  <si>
    <t>A role with content read plus content.banners update only.</t>
  </si>
  <si>
    <t xml:space="preserve">1. Sign in and open Content.
2. Try to edit a banner.
3. Try to edit an ad and a terms version.
4. Call the content API with kind "terms".</t>
  </si>
  <si>
    <t>Role: content.banners only</t>
  </si>
  <si>
    <t>Banners are editable; the ads and terms tabs are read-only or hidden, and the API refuses the terms payload with 403. The parent module decides who opens the page; the tabs decide what they can do on it.</t>
  </si>
  <si>
    <t>UAT Test Cases — Bidders</t>
  </si>
  <si>
    <t>12 test cases  •  Project: GuessLow (Guess Low, Win Big)  •  Fill in Actual Result, Status, Tester, Execution Date and Defect ID during execution.</t>
  </si>
  <si>
    <t>BR-001</t>
  </si>
  <si>
    <t>Bidders</t>
  </si>
  <si>
    <t>The bidder list searches and shows activity</t>
  </si>
  <si>
    <t>bidders:read granted; several bidders with bids and wins.</t>
  </si>
  <si>
    <t xml:space="preserve">1. Open Admin → Bidders.
2. Search by phone number and by name.
3. Sort or filter by status.</t>
  </si>
  <si>
    <t>Matching bidders are returned with their total bids, total spent, wins and status. Search by partial phone number works.</t>
  </si>
  <si>
    <t>BR-002</t>
  </si>
  <si>
    <t>The bidder detail page shows history with amounts masked</t>
  </si>
  <si>
    <t>A bidder with bids on one LIVE and one SETTLED auction.</t>
  </si>
  <si>
    <t xml:space="preserve">1. Open the bidder detail page.
2. Compare the live-auction rows with the settled-auction rows.</t>
  </si>
  <si>
    <t>Bids on the settled auction show their amounts; bids on the live auction render •••. Wins and payments are listed with their statuses.</t>
  </si>
  <si>
    <t>BR-003</t>
  </si>
  <si>
    <t>Moderation</t>
  </si>
  <si>
    <t>Suspending a bidder requires a reason and stops bidding</t>
  </si>
  <si>
    <t>An ACTIVE bidder with a session; bidders:update granted.</t>
  </si>
  <si>
    <t xml:space="preserve">1. Suspend with an empty reason.
2. Suspend with a reason.
3. As that bidder, attempt a bid.</t>
  </si>
  <si>
    <t>Reason: "Under review"</t>
  </si>
  <si>
    <t>The empty reason is refused with 400. After suspension the bidder is refused with 403 and told the account is suspended. The reason is stored on the account.</t>
  </si>
  <si>
    <t>BR-004</t>
  </si>
  <si>
    <t>Blocking gives the bidder the support message</t>
  </si>
  <si>
    <t>An ACTIVE bidder with a session.</t>
  </si>
  <si>
    <t xml:space="preserve">1. Block the account with a reason.
2. As that bidder, attempt a bid.
3. Open /my-bids.</t>
  </si>
  <si>
    <t>Reason: "Fraud investigation"</t>
  </si>
  <si>
    <t>The bid is refused with "Your account is blocked from bidding. Please contact support." Existing bids remain visible and are not deleted.</t>
  </si>
  <si>
    <t>BR-005</t>
  </si>
  <si>
    <t>Restoring an account clears the reason and re-admits the bidder</t>
  </si>
  <si>
    <t>A SUSPENDED bidder.</t>
  </si>
  <si>
    <t xml:space="preserve">1. Set the status back to ACTIVE.
2. As that bidder, place a valid bid.</t>
  </si>
  <si>
    <t>The status reason is cleared and the bid is accepted.</t>
  </si>
  <si>
    <t>BR-006</t>
  </si>
  <si>
    <t>Setting the status it already has is refused</t>
  </si>
  <si>
    <t>An ACTIVE bidder.</t>
  </si>
  <si>
    <t>1. Set the status to ACTIVE again.</t>
  </si>
  <si>
    <t>HTTP 409 "This account is already active."</t>
  </si>
  <si>
    <t>BR-007</t>
  </si>
  <si>
    <t>An invalid status value is refused</t>
  </si>
  <si>
    <t>bidders:update granted.</t>
  </si>
  <si>
    <t>1. PATCH the bidder with status "BANNED".</t>
  </si>
  <si>
    <t>{"status":"BANNED"}</t>
  </si>
  <si>
    <t>HTTP 400 listing the permitted values: ACTIVE, SUSPENDED, BLOCKED.</t>
  </si>
  <si>
    <t>BR-008</t>
  </si>
  <si>
    <t>Every moderation action is audited</t>
  </si>
  <si>
    <t xml:space="preserve">1. Suspend a bidder.
2. Find the audit entry.</t>
  </si>
  <si>
    <t>A BIDDER_STATUS_CHANGED entry names the actor, the phone number, the previous and new status, and the reason.</t>
  </si>
  <si>
    <t>BR-009</t>
  </si>
  <si>
    <t>Moderating requires the update permission</t>
  </si>
  <si>
    <t>A user with bidders:read only.</t>
  </si>
  <si>
    <t xml:space="preserve">1. Attempt to suspend a bidder from the UI.
2. Call the API directly.</t>
  </si>
  <si>
    <t>The control is unavailable or refused, and the API returns 403.</t>
  </si>
  <si>
    <t>BR-010</t>
  </si>
  <si>
    <t>Self-service</t>
  </si>
  <si>
    <t>Favourites toggle and stay private to the bidder</t>
  </si>
  <si>
    <t>Two bidder sessions.</t>
  </si>
  <si>
    <t xml:space="preserve">1. As bidder A, favourite two auctions.
2. Unfavourite one.
3. As bidder B, list favourites.</t>
  </si>
  <si>
    <t>Bidder A ends with exactly one favourite. Bidder B's list is empty — favourites are scoped to the session.</t>
  </si>
  <si>
    <t>BR-011</t>
  </si>
  <si>
    <t>A bidder sees only their own wins</t>
  </si>
  <si>
    <t>Two bidders, each with a win.</t>
  </si>
  <si>
    <t>1. As bidder A, open /wins and call GET /api/miniapp/wins.</t>
  </si>
  <si>
    <t>Only bidder A's win is returned. Bidder B's win does not appear in the page or the payload.</t>
  </si>
  <si>
    <t>BR-012</t>
  </si>
  <si>
    <t>A bidder cannot read another bidder's data by substituting an id</t>
  </si>
  <si>
    <t>Bidder A's session; bidder B's ids known.</t>
  </si>
  <si>
    <t xml:space="preserve">1. Call GET /api/miniapp/bids and confirm the rows are A's.
2. Attempt any endpoint that accepts an id with B's id.</t>
  </si>
  <si>
    <t>Another bidder's ids</t>
  </si>
  <si>
    <t>Every response is scoped to the session's own bidder id. Substituted ids return 404 or the caller's own data, never another bidder's.</t>
  </si>
  <si>
    <t>UAT Test Cases — Approvals</t>
  </si>
  <si>
    <t>AP-001</t>
  </si>
  <si>
    <t>Approvals</t>
  </si>
  <si>
    <t>Queue</t>
  </si>
  <si>
    <t>The queue shows requests raised by others</t>
  </si>
  <si>
    <t>Maker-checker enabled; maker A has raised two requests; approver B has approve on the module.</t>
  </si>
  <si>
    <t xml:space="preserve">1. Sign in as approver B and open Approvals.
2. Sign in as maker A and open Approvals.</t>
  </si>
  <si>
    <t>Approver B sees both requests. Maker A does not see their own requests as actionable, and the pending badge count excludes them.</t>
  </si>
  <si>
    <t>AP-002</t>
  </si>
  <si>
    <t>Each request shows a field-level diff</t>
  </si>
  <si>
    <t>A pending UPDATE request on an auction or a settings change.</t>
  </si>
  <si>
    <t xml:space="preserve">1. Open the request.
2. Read the change detail.</t>
  </si>
  <si>
    <t>Only the fields that actually changed are listed, each with its previous and proposed value — not two opaque blobs.</t>
  </si>
  <si>
    <t>AP-003</t>
  </si>
  <si>
    <t>Separation of duties</t>
  </si>
  <si>
    <t>Nobody can approve their own request</t>
  </si>
  <si>
    <t>Maker A also holds the approve right on the module.</t>
  </si>
  <si>
    <t xml:space="preserve">1. As maker A, raise a request.
2. As the same user, attempt to approve it.</t>
  </si>
  <si>
    <t>The approval is refused with "You cannot approve a change you requested yourself." The request stays PENDING.</t>
  </si>
  <si>
    <t>AP-004</t>
  </si>
  <si>
    <t>Apply</t>
  </si>
  <si>
    <t>Approving a publish request publishes the auction</t>
  </si>
  <si>
    <t>security.requireApprovalForPublish = true; a pending PUBLISH request on an auction with a future start.</t>
  </si>
  <si>
    <t xml:space="preserve">1. Approve it.
2. Check the auction status.
3. Repeat for an auction whose start has passed.</t>
  </si>
  <si>
    <t>The auction becomes SCHEDULED (future start) or LIVE (start passed) with publishedAt stamped. The request is APPROVED with the approver and timestamp recorded.</t>
  </si>
  <si>
    <t>AP-005</t>
  </si>
  <si>
    <t>Approving a cancel request applies the stored reason</t>
  </si>
  <si>
    <t>A pending CANCEL request carrying a reason.</t>
  </si>
  <si>
    <t xml:space="preserve">1. Approve it.
2. Open the auction.</t>
  </si>
  <si>
    <t>The auction becomes CANCELLED with exactly the reason from the request.</t>
  </si>
  <si>
    <t>AP-006</t>
  </si>
  <si>
    <t>Approving a settle request runs the settlement</t>
  </si>
  <si>
    <t>security.requireApprovalForSettlement = true; a pending SETTLE request on an ended auction.</t>
  </si>
  <si>
    <t xml:space="preserve">1. Approve it.
2. Check the auction, the winner and the audit trail.</t>
  </si>
  <si>
    <t>The auction settles, the winner is created, and the settlement is attributed to the approver in the audit log.</t>
  </si>
  <si>
    <t>AP-007</t>
  </si>
  <si>
    <t>Approving a settings request writes the values</t>
  </si>
  <si>
    <t>security.requireApprovalForSettings = true; a pending change to a sensitive setting.</t>
  </si>
  <si>
    <t xml:space="preserve">1. Note the current value.
2. Approve the request.
3. Re-read the setting.</t>
  </si>
  <si>
    <t>reveal.policy END_ONLY → LIVE</t>
  </si>
  <si>
    <t>The setting takes the requested value and the change is recorded against the approver.</t>
  </si>
  <si>
    <t>AP-008</t>
  </si>
  <si>
    <t>Reject</t>
  </si>
  <si>
    <t>Rejecting records the decision and applies nothing</t>
  </si>
  <si>
    <t>A pending request of any kind.</t>
  </si>
  <si>
    <t xml:space="preserve">1. Reject it with a comment.
2. Check the target entity and the request.</t>
  </si>
  <si>
    <t>Comment: "Fee is wrong"</t>
  </si>
  <si>
    <t>The request is REJECTED with the approver, timestamp and comment stored, a CHANGE_REJECTED audit entry is written, and the target entity is unchanged.</t>
  </si>
  <si>
    <t>AP-009</t>
  </si>
  <si>
    <t>A decided request cannot be decided again</t>
  </si>
  <si>
    <t>An already-approved and an already-rejected request.</t>
  </si>
  <si>
    <t>1. Attempt to approve each again.</t>
  </si>
  <si>
    <t>Both are refused with "This request was already approved/rejected."</t>
  </si>
  <si>
    <t>AP-010</t>
  </si>
  <si>
    <t>Failure</t>
  </si>
  <si>
    <t>A request that cannot be applied stays pending</t>
  </si>
  <si>
    <t>A pending PUBLISH request whose auction has since been cancelled or deleted.</t>
  </si>
  <si>
    <t xml:space="preserve">1. Approve it.
2. Read the response and the request status.</t>
  </si>
  <si>
    <t>The approval fails with the underlying reason surfaced to the approver, and the request is left PENDING rather than being marked approved with nothing applied.</t>
  </si>
  <si>
    <t>AP-011</t>
  </si>
  <si>
    <t>Deciding requires the approve right on the module</t>
  </si>
  <si>
    <t>A user with approvals:read but no approve right.</t>
  </si>
  <si>
    <t xml:space="preserve">1. Open Approvals.
2. Attempt to approve a request.
3. Call the decision endpoint directly.</t>
  </si>
  <si>
    <t>The decision controls are unavailable or refused and the API returns 403.</t>
  </si>
  <si>
    <t>AP-012</t>
  </si>
  <si>
    <t>The whole maker-checker cycle is auditable</t>
  </si>
  <si>
    <t>One request taken from creation to approval.</t>
  </si>
  <si>
    <t xml:space="preserve">1. Raise, then approve, a request.
2. Filter Audit Logs on the entity.</t>
  </si>
  <si>
    <t>CHANGE_REQUESTED (with the changed field list and the maker), then CHANGE_APPROVED (with the approver and comment), plus the entity's own action entry. The full chain of custody is reconstructable.</t>
  </si>
  <si>
    <t>UAT Test Cases — Notifications</t>
  </si>
  <si>
    <t>NT-001</t>
  </si>
  <si>
    <t>Templates</t>
  </si>
  <si>
    <t>Every message template is listed and editable in both languages</t>
  </si>
  <si>
    <t>notifications read/update granted.</t>
  </si>
  <si>
    <t xml:space="preserve">1. Open Admin → Notifications → Templates.
2. Confirm each event code is present.
3. Edit one English and one Amharic body and save.</t>
  </si>
  <si>
    <t>BID_CONFIRMED, BID_FAILED, AUCTION_ENDING, AUCTION_SETTLED, AUCTION_REAUCTIONED, REAUCTION_EXCLUDED, WINNER_ANNOUNCED, WINNER_REMINDER, PRIZE_FULFILLED</t>
  </si>
  <si>
    <t>All nine codes are listed with English and Amharic bodies. Edits save and are used by the next message of that type.</t>
  </si>
  <si>
    <t>NT-002</t>
  </si>
  <si>
    <t>Template variables survive an edit and render at send time</t>
  </si>
  <si>
    <t>A template containing variables such as amount, code, title, currency and deadline.</t>
  </si>
  <si>
    <t xml:space="preserve">1. Edit the surrounding wording, leaving the variables in place.
2. Trigger the event.
3. Read the delivered message.</t>
  </si>
  <si>
    <t>The new wording is used and every variable is replaced with the real value — no raw placeholder text reaches the handset.</t>
  </si>
  <si>
    <t>NT-003</t>
  </si>
  <si>
    <t>A preview renders the template with sample values</t>
  </si>
  <si>
    <t>On the template editor.</t>
  </si>
  <si>
    <t>1. Open the preview for a template in each language.</t>
  </si>
  <si>
    <t>The preview shows the message as it would be sent, with the variables substituted.</t>
  </si>
  <si>
    <t>NT-004</t>
  </si>
  <si>
    <t>Toggles</t>
  </si>
  <si>
    <t>The master switch stops all outbound messages</t>
  </si>
  <si>
    <t>notifications.enabled = false.</t>
  </si>
  <si>
    <t xml:space="preserve">1. Confirm a bid, settle an auction and fulfil a prize.
2. Check the handset and the delivery log.</t>
  </si>
  <si>
    <t>No messages are sent for any of the three events. The application flow itself is unaffected.</t>
  </si>
  <si>
    <t>NT-005</t>
  </si>
  <si>
    <t>Each event has its own switch</t>
  </si>
  <si>
    <t>notifications.enabled = true with the per-event toggles set individually.</t>
  </si>
  <si>
    <t xml:space="preserve">1. Turn off onBidConfirmed only and confirm a bid.
2. Turn off onWin only and settle an auction.
3. Turn off onAuctionEnding and let an auction approach its close.
4. Turn off onReauction and open a re-auction round.</t>
  </si>
  <si>
    <t>Only the event whose toggle is off is suppressed; the others still send. Each toggle is independent.</t>
  </si>
  <si>
    <t>NT-006</t>
  </si>
  <si>
    <t>Language</t>
  </si>
  <si>
    <t>A bidder receives messages in their chosen language</t>
  </si>
  <si>
    <t>One bidder set to English and one to Amharic; a reachable handset for each.</t>
  </si>
  <si>
    <t xml:space="preserve">1. Confirm a bid for each.
2. Compare the two messages.</t>
  </si>
  <si>
    <t>The Amharic bidder receives the Amharic template; the English bidder receives the English one.</t>
  </si>
  <si>
    <t>NT-007</t>
  </si>
  <si>
    <t>Delivery log</t>
  </si>
  <si>
    <t>Every attempt is recorded with its outcome</t>
  </si>
  <si>
    <t>notifications read granted.</t>
  </si>
  <si>
    <t xml:space="preserve">1. Trigger several events.
2. Open the delivery log.
3. Open one entry.</t>
  </si>
  <si>
    <t>Each row records the recipient, template code, language, status and timestamp, linked to the bidder and auction. A failure records the error.</t>
  </si>
  <si>
    <t>NT-008</t>
  </si>
  <si>
    <t>With no SMS provider configured messages are logged, not sent</t>
  </si>
  <si>
    <t>SMS_API_URL unset; app restarted.</t>
  </si>
  <si>
    <t xml:space="preserve">1. Trigger a bid confirmation.
2. Check the handset and the delivery log.</t>
  </si>
  <si>
    <t>Nothing arrives on the handset and the log records the message with a status showing it was logged rather than dispatched. No error is raised into the bidding flow.</t>
  </si>
  <si>
    <t>NT-009</t>
  </si>
  <si>
    <t>A provider outage does not break the flow</t>
  </si>
  <si>
    <t xml:space="preserve">1. Confirm a bid.
2. Settle an auction.
3. Check both records and the log.</t>
  </si>
  <si>
    <t>Unreachable endpoint</t>
  </si>
  <si>
    <t>The bid confirms and the auction settles. Both messages are logged as failed. No transaction is rolled back because a message could not be delivered.</t>
  </si>
  <si>
    <t>NT-010</t>
  </si>
  <si>
    <t>Confidentiality</t>
  </si>
  <si>
    <t>The confirmation message quotes the amount while the log masks it</t>
  </si>
  <si>
    <t>notifications.onBidConfirmed = true; a reachable handset.</t>
  </si>
  <si>
    <t xml:space="preserve">1. Confirm a bid.
2. Read the SMS.
3. Read the same message in the delivery log.</t>
  </si>
  <si>
    <t>The SMS quotes the bidder their own amount. The log row shows the amount masked, so operators reading the log cannot assemble the live bid distribution.</t>
  </si>
  <si>
    <t>NT-011</t>
  </si>
  <si>
    <t>Ending soon</t>
  </si>
  <si>
    <t>The reminder is sent once per bidder per auction</t>
  </si>
  <si>
    <t>notifications.onAuctionEnding = true; a LIVE auction ending in about an hour with several bidders.</t>
  </si>
  <si>
    <t xml:space="preserve">1. Let the tick run repeatedly across the reminder window.
2. Count the reminders per bidder in the log.</t>
  </si>
  <si>
    <t>Auction ending in ~60 minutes</t>
  </si>
  <si>
    <t>Each bidder with a confirmed bid receives exactly one AUCTION_ENDING reminder, however many times the tick runs.</t>
  </si>
  <si>
    <t>NT-012</t>
  </si>
  <si>
    <t>Resend</t>
  </si>
  <si>
    <t>A winner reminder can be resent on demand</t>
  </si>
  <si>
    <t xml:space="preserve">1. Send a reminder from Admin → Winners.
2. Check the handset and the log.</t>
  </si>
  <si>
    <t>The reminder is delivered quoting the claim deadline, and a new delivery-log row records it.</t>
  </si>
  <si>
    <t>UAT Test Cases — Users &amp; Access Control</t>
  </si>
  <si>
    <t>UA-001</t>
  </si>
  <si>
    <t>Users &amp; Access</t>
  </si>
  <si>
    <t>Access</t>
  </si>
  <si>
    <t>Users and Access Control are Super Admin only</t>
  </si>
  <si>
    <t>A non-Super-Admin user, even one granted users:read.</t>
  </si>
  <si>
    <t xml:space="preserve">1. Sign in as that user.
2. Browse to /admin/users and /admin/access-control.</t>
  </si>
  <si>
    <t>Both redirect to /admin/no-access. These routes require the Super Admin role on top of any permission.</t>
  </si>
  <si>
    <t>UA-002</t>
  </si>
  <si>
    <t>Users</t>
  </si>
  <si>
    <t>A new user is created with a one-time password</t>
  </si>
  <si>
    <t xml:space="preserve">1. Create a user with a name, email, phone and role.
2. Note the generated password.
3. Sign in as that user.</t>
  </si>
  <si>
    <t>uat.finance@guesslow.et</t>
  </si>
  <si>
    <t>The account is created and a one-time password is displayed once. The first sign-in forces a password change.</t>
  </si>
  <si>
    <t>UA-003</t>
  </si>
  <si>
    <t>Duplicate email or phone is refused</t>
  </si>
  <si>
    <t>An existing user.</t>
  </si>
  <si>
    <t xml:space="preserve">1. Create a user with an existing email.
2. Create one with an existing phone number.</t>
  </si>
  <si>
    <t>Each returns HTTP 409 naming the clash, and no account is created.</t>
  </si>
  <si>
    <t>UA-004</t>
  </si>
  <si>
    <t>Email and phone formats are validated</t>
  </si>
  <si>
    <t xml:space="preserve">1. Create a user with "not-an-email".
2. Create one with a 5-digit phone number.
3. Save a user with an empty full name.</t>
  </si>
  <si>
    <t>Each returns HTTP 400 with a specific message.</t>
  </si>
  <si>
    <t>UA-005</t>
  </si>
  <si>
    <t>Resetting a password revokes the user's live sessions</t>
  </si>
  <si>
    <t>A user signed in in another browser.</t>
  </si>
  <si>
    <t xml:space="preserve">1. Reset that user's password.
2. Note the temporary password.
3. In the user's browser, click any admin link.
4. Sign in with the temporary password.</t>
  </si>
  <si>
    <t>A new one-time password is issued, the live session stops working immediately, and the next sign-in forces a password change. A reset that left the session alive would defeat itself.</t>
  </si>
  <si>
    <t>UA-006</t>
  </si>
  <si>
    <t>Unlocking clears the lockout and the failed count</t>
  </si>
  <si>
    <t>A user locked out by failed sign-ins.</t>
  </si>
  <si>
    <t xml:space="preserve">1. Unlock the account.
2. Sign in with the correct password.</t>
  </si>
  <si>
    <t>The account signs in immediately without waiting for the lockout to elapse, and a USER_UNLOCKED entry is audited.</t>
  </si>
  <si>
    <t>UA-007</t>
  </si>
  <si>
    <t>A user cannot deactivate their own account</t>
  </si>
  <si>
    <t>1. Attempt to set your own status to DISABLED.</t>
  </si>
  <si>
    <t>HTTP 409 "You cannot deactivate your own account."</t>
  </si>
  <si>
    <t>UA-008</t>
  </si>
  <si>
    <t>The last active Super Admin cannot be demoted</t>
  </si>
  <si>
    <t>Exactly one active Super Admin exists.</t>
  </si>
  <si>
    <t xml:space="preserve">1. Attempt to change that account's role to any other role.
2. Create a second Super Admin and retry.</t>
  </si>
  <si>
    <t>The first attempt is refused with "This is the last active Super Admin — assign another one first." Once a second exists the change is allowed. Nobody can lock everyone out of Access Control.</t>
  </si>
  <si>
    <t>UA-009</t>
  </si>
  <si>
    <t>The last active Super Admin cannot be deactivated</t>
  </si>
  <si>
    <t>1. Attempt to set that account to SUSPENDED or DISABLED.</t>
  </si>
  <si>
    <t>HTTP 409 "This is the last active Super Admin and cannot be deactivated."</t>
  </si>
  <si>
    <t>UA-010</t>
  </si>
  <si>
    <t>Deactivating a user ends their session at once</t>
  </si>
  <si>
    <t xml:space="preserve">1. Set their status to DISABLED.
2. In their browser, click any admin link.</t>
  </si>
  <si>
    <t>They are immediately signed out and cannot sign in again while disabled.</t>
  </si>
  <si>
    <t>UA-011</t>
  </si>
  <si>
    <t>User changes are audited</t>
  </si>
  <si>
    <t xml:space="preserve">1. Update a user's role and status.
2. Find the audit entry.</t>
  </si>
  <si>
    <t>A USER_UPDATED entry names the actor, the target and exactly which fields changed. Passwords never appear in the log.</t>
  </si>
  <si>
    <t>UA-012</t>
  </si>
  <si>
    <t>Roles</t>
  </si>
  <si>
    <t>A role is built from the permission matrix</t>
  </si>
  <si>
    <t xml:space="preserve">1. Create a role.
2. Grant read/create/update/delete/approve across selected modules.
3. Assign it to a test user and verify each grant.</t>
  </si>
  <si>
    <t>Role: UAT Operator</t>
  </si>
  <si>
    <t>The matrix lists every module in the route registry. Each granted action is available to the test user and each ungranted one is refused.</t>
  </si>
  <si>
    <t>UA-013</t>
  </si>
  <si>
    <t>Sub-module permissions are grantable and enforced</t>
  </si>
  <si>
    <t xml:space="preserve">1. Grant content read plus content.banners and content.terms only.
2. Assign it and open the Content page as that user.</t>
  </si>
  <si>
    <t>The banners and terms tabs are usable; the ads and participant-list tabs are not. Sub-module keys such as content.banners appear in the matrix because they are declared on the route.</t>
  </si>
  <si>
    <t>UA-014</t>
  </si>
  <si>
    <t>The Super Admin role cannot be edited</t>
  </si>
  <si>
    <t>1. Attempt to change the Super Admin role's permissions or name.</t>
  </si>
  <si>
    <t>HTTP 409 "The Super Admin role always has full access and cannot be edited." Editing a matrix that is bypassed anyway would be misleading.</t>
  </si>
  <si>
    <t>UA-015</t>
  </si>
  <si>
    <t>System roles cannot be deleted</t>
  </si>
  <si>
    <t>The seeded roles exist.</t>
  </si>
  <si>
    <t>1. Attempt to delete Auction Manager, Approver, Finance, Support and Auditor.</t>
  </si>
  <si>
    <t>Each is refused with "System roles cannot be deleted."</t>
  </si>
  <si>
    <t>UA-016</t>
  </si>
  <si>
    <t>A role in use cannot be deleted</t>
  </si>
  <si>
    <t>A custom role assigned to at least one user.</t>
  </si>
  <si>
    <t xml:space="preserve">1. Attempt to delete it.
2. Reassign the user and retry.</t>
  </si>
  <si>
    <t>The first attempt is refused naming the assigned users; after reassignment the role deletes.</t>
  </si>
  <si>
    <t>UA-017</t>
  </si>
  <si>
    <t>Unknown permission keys are discarded</t>
  </si>
  <si>
    <t xml:space="preserve">1. PATCH a role with a permissions object containing a made-up module key.
2. Re-read the role.</t>
  </si>
  <si>
    <t>{"nonexistent-module":{"read":true}}</t>
  </si>
  <si>
    <t>The unknown key is dropped. Only keys declared in the route registry are storable, so a permission cannot be smuggled in for a module that does not exist.</t>
  </si>
  <si>
    <t>UA-018</t>
  </si>
  <si>
    <t>A permission change is audited with the before and after matrix</t>
  </si>
  <si>
    <t xml:space="preserve">1. Change a role's permissions.
2. Open the ROLE_UPDATED audit entry.</t>
  </si>
  <si>
    <t>The entry records the previous and new permission matrices, so a widening of access is visible after the fact.</t>
  </si>
  <si>
    <t>UA-019</t>
  </si>
  <si>
    <t>approve right</t>
  </si>
  <si>
    <t>The approve right gates exactly the sensitive actions</t>
  </si>
  <si>
    <t>A role with read/create/update on auctions, payments and winners but no approve anywhere.</t>
  </si>
  <si>
    <t xml:space="preserve">1. Attempt to settle an auction.
2. Attempt to decide a pending change.
3. Attempt to manually confirm a payment.
4. Attempt to promote a runner-up.</t>
  </si>
  <si>
    <t>All four are refused with 403 while ordinary create and update actions still work. The approve right is the second pair of eyes.</t>
  </si>
  <si>
    <t>UAT Test Cases — Settings</t>
  </si>
  <si>
    <t>16 test cases  •  Project: GuessLow (Guess Low, Win Big)  •  Fill in Actual Result, Status, Tester, Execution Date and Defect ID during execution.</t>
  </si>
  <si>
    <t>ST-001</t>
  </si>
  <si>
    <t>Settings</t>
  </si>
  <si>
    <t>Page</t>
  </si>
  <si>
    <t>Every setting group renders from the registry</t>
  </si>
  <si>
    <t>settings:read granted.</t>
  </si>
  <si>
    <t xml:space="preserve">1. Open Admin → Settings.
2. Confirm each group is present with its settings and help text.</t>
  </si>
  <si>
    <t>Platform, Bidding Rules, Bid Visibility, Winners &amp; Claims, Re-Auction, Payments, Ads, Notifications, Security &amp; Governance</t>
  </si>
  <si>
    <t>All groups render, each setting shows its label and description, and inputs match their types (text, number, boolean, select, image, textarea).</t>
  </si>
  <si>
    <t>ST-002</t>
  </si>
  <si>
    <t>Save</t>
  </si>
  <si>
    <t>A non-sensitive setting applies immediately</t>
  </si>
  <si>
    <t>security.requireApprovalForSettings = false; settings:update granted.</t>
  </si>
  <si>
    <t xml:space="preserve">1. Change bidding.cooldownSeconds to 30 and save.
2. Place two quick bids in the mini-app.</t>
  </si>
  <si>
    <t>The setting saves and the new cooldown is enforced on the very next bid, with no restart.</t>
  </si>
  <si>
    <t>ST-003</t>
  </si>
  <si>
    <t>A sensitive setting routes through maker-checker</t>
  </si>
  <si>
    <t>security.requireApprovalForSettings = true; a maker and an approver.</t>
  </si>
  <si>
    <t xml:space="preserve">1. As the maker, change a sensitive setting (e.g. platform.maintenanceMode or reveal.policy) and save.
2. Re-read the setting.
3. Open Approvals as the approver.</t>
  </si>
  <si>
    <t>reveal.policy</t>
  </si>
  <si>
    <t>The value is unchanged and a PendingChange is queued instead. Only after approval does the setting take the new value.</t>
  </si>
  <si>
    <t>ST-004</t>
  </si>
  <si>
    <t>Non-sensitive settings are unaffected by the approval toggle</t>
  </si>
  <si>
    <t>security.requireApprovalForSettings = true.</t>
  </si>
  <si>
    <t>1. Change a non-sensitive setting such as platform.tagline and save.</t>
  </si>
  <si>
    <t>It applies immediately. Only settings marked sensitive route through approval.</t>
  </si>
  <si>
    <t>ST-005</t>
  </si>
  <si>
    <t>Numeric settings reject out-of-range values</t>
  </si>
  <si>
    <t>settings:update granted.</t>
  </si>
  <si>
    <t xml:space="preserve">1. Set a negative value on a count-based setting.
2. Set a non-numeric value.
3. Set an unreasonably large value.</t>
  </si>
  <si>
    <t>−5, "abc", 999999999</t>
  </si>
  <si>
    <t>Each is refused with a clear message and the stored value is unchanged.</t>
  </si>
  <si>
    <t>ST-006</t>
  </si>
  <si>
    <t>Platform</t>
  </si>
  <si>
    <t>Maintenance mode blocks bidding with its message</t>
  </si>
  <si>
    <t>settings:update granted; a LIVE auction and a bidder session.</t>
  </si>
  <si>
    <t xml:space="preserve">1. Set platform.maintenanceMode on with a custom message.
2. Attempt a bid.
3. Turn it off and retry.</t>
  </si>
  <si>
    <t>Custom maintenance message</t>
  </si>
  <si>
    <t>While on, bids are refused with HTTP 503 quoting the configured message. Browsing still works. Turning it off restores bidding immediately.</t>
  </si>
  <si>
    <t>ST-007</t>
  </si>
  <si>
    <t>Branding settings reach the mini-app</t>
  </si>
  <si>
    <t xml:space="preserve">1. Change platform.name, platform.tagline, platform.currency and the app icon.
2. Open the mini-app.</t>
  </si>
  <si>
    <t>Currency ETB</t>
  </si>
  <si>
    <t>The name, tagline and icon are shown in the mini-app shell, and the currency code appears against every amount.</t>
  </si>
  <si>
    <t>ST-008</t>
  </si>
  <si>
    <t>Bidding defaults</t>
  </si>
  <si>
    <t>Auction-level values override the platform defaults</t>
  </si>
  <si>
    <t>bidding.defaultBidFee = 5.00.</t>
  </si>
  <si>
    <t xml:space="preserve">1. Create an auction and change its fee to 12.00.
2. Change bidding.defaultBidFee to 8.00.
3. Re-read the auction and place a bid.</t>
  </si>
  <si>
    <t>Default 5.00 → 8.00; auction 12.00</t>
  </si>
  <si>
    <t>The auction keeps charging 12.00. Settings supply the starting point for new auctions only; they never rewrite an existing auction.</t>
  </si>
  <si>
    <t>ST-009</t>
  </si>
  <si>
    <t>Bid visibility</t>
  </si>
  <si>
    <t>Changing the reveal policy takes effect on the next read</t>
  </si>
  <si>
    <t>A LIVE auction with confirmed bids.</t>
  </si>
  <si>
    <t xml:space="preserve">1. With reveal.policy = END_ONLY, check /my-bids.
2. Change it to LIVE.
3. Refresh /my-bids.</t>
  </si>
  <si>
    <t>The unique/taken status appears after the change without a restart or a new session.</t>
  </si>
  <si>
    <t>ST-010</t>
  </si>
  <si>
    <t>Bid count and view count can be hidden</t>
  </si>
  <si>
    <t>reveal.showBidCount and reveal.showViewCount toggles.</t>
  </si>
  <si>
    <t xml:space="preserve">1. Turn both off and open an auction in the mini-app.
2. Turn both on and reload.</t>
  </si>
  <si>
    <t>The counts disappear and reappear accordingly.</t>
  </si>
  <si>
    <t>ST-011</t>
  </si>
  <si>
    <t>Winners</t>
  </si>
  <si>
    <t>Winner settings govern the next settlement only</t>
  </si>
  <si>
    <t>An auction already settled with winners.claimWindowHours = 72.</t>
  </si>
  <si>
    <t xml:space="preserve">1. Change claimWindowHours to 24 and runnerUpDepth to 5.
2. Re-read the existing winner.
3. Settle a new auction and compare.</t>
  </si>
  <si>
    <t>72 → 24 hours</t>
  </si>
  <si>
    <t>The existing winner keeps its 72-hour deadline; the newly settled auction gets 24 hours and records five runner-ups.</t>
  </si>
  <si>
    <t>ST-012</t>
  </si>
  <si>
    <t>Turning fees off stops charging immediately</t>
  </si>
  <si>
    <t>payments.enabled = true with a LIVE auction.</t>
  </si>
  <si>
    <t xml:space="preserve">1. Place a bid and confirm the wallet is charged.
2. Set payments.enabled = false.
3. Place another bid.</t>
  </si>
  <si>
    <t>The second bid is ACTIVE immediately with a zero fee and no gateway call. The bidder's total spent does not move.</t>
  </si>
  <si>
    <t>ST-013</t>
  </si>
  <si>
    <t>The payment timeout drives the void sweep</t>
  </si>
  <si>
    <t>payments.pendingTimeoutMinutes = 2.</t>
  </si>
  <si>
    <t xml:space="preserve">1. Place a bid and leave it unpaid.
2. Wait past 2 minutes and let the tick run.
3. Check the bid.</t>
  </si>
  <si>
    <t>timeout 2 minutes</t>
  </si>
  <si>
    <t>The bid is voided with a reason naming 2 minutes, matching the configured value.</t>
  </si>
  <si>
    <t>ST-014</t>
  </si>
  <si>
    <t>Lockout settings drive admin sign-in behaviour</t>
  </si>
  <si>
    <t xml:space="preserve">1. Set security.maxFailedLogins = 3 and security.lockoutMinutes = 2.
2. Fail three sign-ins.
3. Read the message and wait out the lock.</t>
  </si>
  <si>
    <t>3 attempts / 2 minutes</t>
  </si>
  <si>
    <t>The lock triggers on the third attempt and the message names 2 minutes. The account unlocks after 2 minutes.</t>
  </si>
  <si>
    <t>ST-015</t>
  </si>
  <si>
    <t>Settings changes are audited with the actor and both values</t>
  </si>
  <si>
    <t xml:space="preserve">1. Change any setting.
2. Find the audit entry.
3. Change a credential-like setting (e.g. payments.accountNo).</t>
  </si>
  <si>
    <t>The entry names the actor, the key and the change. Credential-like values are redacted in the log rather than written in the clear.</t>
  </si>
  <si>
    <t>ST-016</t>
  </si>
  <si>
    <t>Changing settings requires the update permission</t>
  </si>
  <si>
    <t>A user with settings:read only.</t>
  </si>
  <si>
    <t xml:space="preserve">1. Open Settings.
2. Attempt to save a change.
3. Call the settings API directly.</t>
  </si>
  <si>
    <t>The values are visible but not savable, and the API returns 403.</t>
  </si>
  <si>
    <t>UAT Test Cases — Dashboard Reports &amp; Audit</t>
  </si>
  <si>
    <t>17 test cases  •  Project: GuessLow (Guess Low, Win Big)  •  Fill in Actual Result, Status, Tester, Execution Date and Defect ID during execution.</t>
  </si>
  <si>
    <t>DR-001</t>
  </si>
  <si>
    <t>Dashboard &amp; Reports</t>
  </si>
  <si>
    <t>Dashboard</t>
  </si>
  <si>
    <t>The dashboard requires an authenticated session</t>
  </si>
  <si>
    <t>1. Browse directly to /admin.</t>
  </si>
  <si>
    <t>The browser is redirected to /admin/login and no figure is rendered at any point.</t>
  </si>
  <si>
    <t>DR-002</t>
  </si>
  <si>
    <t>Every KPI tile renders a real value</t>
  </si>
  <si>
    <t>Auctions, bids, payments and winners exist across several states.</t>
  </si>
  <si>
    <t xml:space="preserve">1. Open the dashboard.
2. Read every tile.
3. Cross-check two of them against the underlying lists.</t>
  </si>
  <si>
    <t>Each tile shows a correctly formatted figure — thousands separators and two decimals for money. No tile shows NaN, undefined, or a blank.</t>
  </si>
  <si>
    <t>DR-003</t>
  </si>
  <si>
    <t>The activity chart matches the underlying data</t>
  </si>
  <si>
    <t>Bids and settlements spread across the last 14 days.</t>
  </si>
  <si>
    <t xml:space="preserve">1. Read the chart.
2. Compare two days against the bid and payment lists filtered to those dates.</t>
  </si>
  <si>
    <t>The plotted values match the records for those days, and days with no activity plot as zero rather than being skipped.</t>
  </si>
  <si>
    <t>DR-004</t>
  </si>
  <si>
    <t>The "needs attention" queue surfaces the real backlog</t>
  </si>
  <si>
    <t>At least one ended-but-unsettled auction, one unclaimed prize past its deadline, and one unresolved payment.</t>
  </si>
  <si>
    <t xml:space="preserve">1. Open the dashboard and read the queue.
2. Follow each link.</t>
  </si>
  <si>
    <t>All three appear in the queue and each link opens the correct record.</t>
  </si>
  <si>
    <t>DR-005</t>
  </si>
  <si>
    <t>The test-bypass warning is shown when the bypass is live</t>
  </si>
  <si>
    <t xml:space="preserve">1. Open the dashboard.
2. Unset the flag, restart and reload.</t>
  </si>
  <si>
    <t>The warning is displayed while the flag is on and gone once it is unset.</t>
  </si>
  <si>
    <t>DR-006</t>
  </si>
  <si>
    <t>Reports</t>
  </si>
  <si>
    <t>The date range filter applies across the whole report</t>
  </si>
  <si>
    <t>reports:read granted; data spread over several months.</t>
  </si>
  <si>
    <t xml:space="preserve">1. Open Reports with the default range.
2. Set a range covering one week with known activity.
3. Set a range with no activity.</t>
  </si>
  <si>
    <t>Last 30 days / one known week / a future week</t>
  </si>
  <si>
    <t>Every panel recalculates for the chosen range. An empty range shows zeros and empty tables rather than an error.</t>
  </si>
  <si>
    <t>DR-007</t>
  </si>
  <si>
    <t>Fee income and prize cost per auction are correct</t>
  </si>
  <si>
    <t>Several settled auctions with known bid counts, fees and item retail prices.</t>
  </si>
  <si>
    <t xml:space="preserve">1. Open Reports for a range covering them.
2. Recompute fee income and prize cost by hand for two auctions.</t>
  </si>
  <si>
    <t>Auction with 40 bids at 5.00 and an item at 24,500.00</t>
  </si>
  <si>
    <t>Fee income matches bids × fee for the auction, prize cost matches the item retail price, and the totals reconcile with the successful payment records for the period.</t>
  </si>
  <si>
    <t>DR-008</t>
  </si>
  <si>
    <t>Carried and test bids do not inflate income</t>
  </si>
  <si>
    <t>A range containing carried-over bids (fee 0) and TEST-channel bids.</t>
  </si>
  <si>
    <t xml:space="preserve">1. Read fee income for the range.
2. Compare with the count of fee-bearing bids.</t>
  </si>
  <si>
    <t>Only bids that actually raised a fee contribute. Zero-fee bids add nothing to income.</t>
  </si>
  <si>
    <t>DR-009</t>
  </si>
  <si>
    <t>The category breakdown counts correctly</t>
  </si>
  <si>
    <t>Auctions across at least three categories.</t>
  </si>
  <si>
    <t xml:space="preserve">1. Read the category breakdown.
2. Cross-check one category against the auction list filtered to it.</t>
  </si>
  <si>
    <t>Auction counts and bid totals per category match the filtered lists.</t>
  </si>
  <si>
    <t>DR-010</t>
  </si>
  <si>
    <t>Money figures are hidden without the payments permission</t>
  </si>
  <si>
    <t>A user with reports:read but no payments:read.</t>
  </si>
  <si>
    <t xml:space="preserve">1. Open Reports as that user.
2. Look for revenue and fee figures.</t>
  </si>
  <si>
    <t>The report opens but monetary figures are withheld. Holding reports:read alone does not expose the money view.</t>
  </si>
  <si>
    <t>DR-011</t>
  </si>
  <si>
    <t>Export matches what is on screen</t>
  </si>
  <si>
    <t>A report filtered to a known range.</t>
  </si>
  <si>
    <t xml:space="preserve">1. Export it.
2. Open the file and compare row counts and totals with the screen.</t>
  </si>
  <si>
    <t>The export contains exactly the filtered rows with the same totals, and opens cleanly in Excel with no mangled characters.</t>
  </si>
  <si>
    <t>DR-012</t>
  </si>
  <si>
    <t>Audit log</t>
  </si>
  <si>
    <t>Every privileged action is recorded</t>
  </si>
  <si>
    <t>audit-logs read granted to a Super Admin, Auditor or Compliance user.</t>
  </si>
  <si>
    <t xml:space="preserve">1. Perform a sign-in, an auction publish, a settlement, a payment reversal, a role change and a settings change.
2. Open Audit Logs.</t>
  </si>
  <si>
    <t>All six appear with the actor, action, entity, timestamp, IP address and a details payload. The record is complete enough to reconstruct what happened.</t>
  </si>
  <si>
    <t>DR-013</t>
  </si>
  <si>
    <t>Filters narrow the log correctly</t>
  </si>
  <si>
    <t>A populated audit log.</t>
  </si>
  <si>
    <t xml:space="preserve">1. Filter by action.
2. Filter by entity.
3. Filter by actor.
4. Filter by date range.
5. Combine two filters.</t>
  </si>
  <si>
    <t>Each filter returns only matching rows and combinations narrow further. Clearing the filters restores the full list.</t>
  </si>
  <si>
    <t>DR-014</t>
  </si>
  <si>
    <t>Export opens correctly in Excel</t>
  </si>
  <si>
    <t>A filtered audit log.</t>
  </si>
  <si>
    <t xml:space="preserve">1. Export to CSV.
2. Open the file in Excel and check non-ASCII text such as Amharic names.</t>
  </si>
  <si>
    <t>The file downloads with a dated filename and opens with the correct encoding — Amharic and other non-ASCII characters render properly.</t>
  </si>
  <si>
    <t>DR-015</t>
  </si>
  <si>
    <t>Access is restricted to the audit roles</t>
  </si>
  <si>
    <t>A user with audit-logs:read whose role is not Super Admin, Auditor or Compliance.</t>
  </si>
  <si>
    <t xml:space="preserve">1. Browse to /admin/audit-logs.
2. Call the audit API and the export endpoint.</t>
  </si>
  <si>
    <t>The page redirects to /admin/no-access and both endpoints return 403.</t>
  </si>
  <si>
    <t>DR-016</t>
  </si>
  <si>
    <t>Credentials are redacted in log details</t>
  </si>
  <si>
    <t>Perform actions that touch secrets.</t>
  </si>
  <si>
    <t xml:space="preserve">1. Change a password, save a credential-like setting and process a payment callback.
2. Read the corresponding audit details.</t>
  </si>
  <si>
    <t>No password, token, API key or signature appears in the clear anywhere in the log.</t>
  </si>
  <si>
    <t>DR-017</t>
  </si>
  <si>
    <t>The log cannot be altered from the console</t>
  </si>
  <si>
    <t xml:space="preserve">1. Look for any edit or delete control on an audit entry.
2. Attempt a DELETE against the audit endpoint.</t>
  </si>
  <si>
    <t>No edit or delete path exists in the UI and the API offers none. The log is append-only from the application's point of view.</t>
  </si>
  <si>
    <t>UAT Test Cases — Scheduled Tick</t>
  </si>
  <si>
    <t>CT-001</t>
  </si>
  <si>
    <t>Scheduled Tick</t>
  </si>
  <si>
    <t>Endpoint</t>
  </si>
  <si>
    <t>The tick endpoint accepts the shared secret</t>
  </si>
  <si>
    <t>CRON_SECRET set; API client available.</t>
  </si>
  <si>
    <t xml:space="preserve">1. POST /api/cron/tick with header x-cron-secret set correctly.
2. Read the response body.</t>
  </si>
  <si>
    <t>The configured CRON_SECRET</t>
  </si>
  <si>
    <t>HTTP 200 with a summary of the pass: auctions started, ended, bids expired, auctions settled, re-auctions created and pending, winners notified and ending-soon reminders sent.</t>
  </si>
  <si>
    <t>CT-002</t>
  </si>
  <si>
    <t>The tick is refused without the secret</t>
  </si>
  <si>
    <t>CRON_SECRET set.</t>
  </si>
  <si>
    <t xml:space="preserve">1. POST with no x-cron-secret header.
2. POST with a wrong value.</t>
  </si>
  <si>
    <t>Both return HTTP 401 and nothing is processed. The maintenance pass is not reachable by an anonymous caller.</t>
  </si>
  <si>
    <t>CT-003</t>
  </si>
  <si>
    <t>The pass advances auction statuses</t>
  </si>
  <si>
    <t>One SCHEDULED auction whose start has passed and one LIVE auction whose end has passed.</t>
  </si>
  <si>
    <t xml:space="preserve">1. Run the tick.
2. Check both auctions and the response counters.</t>
  </si>
  <si>
    <t>The first becomes LIVE and the second ENDED, and the summary reports startedLive 1 and ended 1.</t>
  </si>
  <si>
    <t>CT-004</t>
  </si>
  <si>
    <t>The pass voids bids past the payment timeout</t>
  </si>
  <si>
    <t>A bid in PENDING_PAYMENT older than payments.pendingTimeoutMinutes.</t>
  </si>
  <si>
    <t xml:space="preserve">1. Run the tick.
2. Check the bid and its transaction.</t>
  </si>
  <si>
    <t>The bid is VOID with a timeout reason, its transaction is EXPIRED, and the summary reports the expired count. Any carried credit the bid consumed is handed back.</t>
  </si>
  <si>
    <t>CT-005</t>
  </si>
  <si>
    <t>The pass settles ended auctions past the grace period</t>
  </si>
  <si>
    <t>winners.autoSettle = true; an auction ended longer ago than winners.settleGraceMinutes.</t>
  </si>
  <si>
    <t xml:space="preserve">1. Run the tick.
2. Check the auction, the result and the winner.</t>
  </si>
  <si>
    <t>The auction is SETTLED with its result computed and a Winner created, and the summary reports settled 1.</t>
  </si>
  <si>
    <t>CT-006</t>
  </si>
  <si>
    <t>One blocked settlement does not stop the rest</t>
  </si>
  <si>
    <t>Two auctions due for settlement, one containing a bid whose ciphertext will not open. Use a disposable environment.</t>
  </si>
  <si>
    <t xml:space="preserve">1. Run the tick.
2. Check both auctions and the audit log.</t>
  </si>
  <si>
    <t>The healthy auction settles. The blocked one stays unsettled with an AUCTION_SETTLEMENT_BLOCKED entry, and the pass carries on rather than aborting.</t>
  </si>
  <si>
    <t>CT-007</t>
  </si>
  <si>
    <t>Re-auction</t>
  </si>
  <si>
    <t>The pass opens due re-auction rounds</t>
  </si>
  <si>
    <t>reauction.autoCreate = true; an auction that will settle with no valid winner.</t>
  </si>
  <si>
    <t xml:space="preserve">1. Run the tick.
2. Check the auction chain and the summary.</t>
  </si>
  <si>
    <t>The settlement and the new round both happen in the pass, and the summary reports reauctionsCreated. With autoCreate off the summary reports reauctionsPending instead.</t>
  </si>
  <si>
    <t>CT-008</t>
  </si>
  <si>
    <t>The pass notifies winners and carried-forward bidders</t>
  </si>
  <si>
    <t>notifications.onWin and notifications.onReauction on; reachable handsets.</t>
  </si>
  <si>
    <t xml:space="preserve">1. Run the tick over an auction that settles with a winner and one that re-auctions.
2. Check the handsets and the delivery log.</t>
  </si>
  <si>
    <t>The winner receives WINNER_ANNOUNCED and the previous round's bidders receive AUCTION_REAUCTIONED or REAUCTION_EXCLUDED. The summary counts the winners notified.</t>
  </si>
  <si>
    <t>CT-009</t>
  </si>
  <si>
    <t>Ending-soon reminders are sent in the right window</t>
  </si>
  <si>
    <t>notifications.onAuctionEnding on; a LIVE auction ending in about an hour with confirmed bidders.</t>
  </si>
  <si>
    <t xml:space="preserve">1. Run the tick while the auction is 70 minutes out.
2. Run it again inside the 55–65 minute window.
3. Run it repeatedly afterwards.</t>
  </si>
  <si>
    <t>No reminder at 70 minutes; one reminder per bidder inside the window; no duplicates however often the tick runs.</t>
  </si>
  <si>
    <t>CT-010</t>
  </si>
  <si>
    <t>Idempotency</t>
  </si>
  <si>
    <t>Running the pass twice changes nothing the second time</t>
  </si>
  <si>
    <t>A state where the first pass has work to do.</t>
  </si>
  <si>
    <t xml:space="preserve">1. Run the tick and record the summary.
2. Run it again immediately and compare.
3. Check counters, winners and bid counts.</t>
  </si>
  <si>
    <t>The second pass reports nothing further to do and no record is double-processed. Every step is idempotent.</t>
  </si>
  <si>
    <t>CT-011</t>
  </si>
  <si>
    <t>Two drivers running at once are harmless</t>
  </si>
  <si>
    <t>The worker running and a cron POST fired at the same moment.</t>
  </si>
  <si>
    <t xml:space="preserve">1. Start `npm run run:worker`.
2. Fire the cron endpoint simultaneously, several times.
3. Check for duplicate winners, doubled counters or duplicate messages.</t>
  </si>
  <si>
    <t>No duplicate Winner rows, no doubled bid counts and no duplicate notifications. Running two drivers together is safe.</t>
  </si>
  <si>
    <t>CT-012</t>
  </si>
  <si>
    <t>Logging</t>
  </si>
  <si>
    <t>Only passes that changed something are logged</t>
  </si>
  <si>
    <t>A quiet system with nothing due.</t>
  </si>
  <si>
    <t xml:space="preserve">1. Run the tick five times with nothing to do.
2. Check Audit Logs.
3. Create work and run it again.</t>
  </si>
  <si>
    <t>No CRON_TICK entries are written for the empty passes — the HTTP response still carries the full summary — and one entry appears for the pass that did work. Cron monitoring still sees every tick.</t>
  </si>
  <si>
    <t>CT-013</t>
  </si>
  <si>
    <t>Worker</t>
  </si>
  <si>
    <t>The worker performs the same pass on its interval</t>
  </si>
  <si>
    <t>No external scheduler; WORKER_INTERVAL_SECONDS set to 60.</t>
  </si>
  <si>
    <t xml:space="preserve">1. Start `npm run run:worker`.
2. Create an auction due to end and settle.
3. Watch the worker output and the auction.</t>
  </si>
  <si>
    <t>The worker runs a pass roughly every 60 seconds and the auction advances and settles without any HTTP call.</t>
  </si>
  <si>
    <t>CT-014</t>
  </si>
  <si>
    <t>Read-path fallback</t>
  </si>
  <si>
    <t>An ended auction still settles with no cron and no worker</t>
  </si>
  <si>
    <t>Neither the cron nor the worker is running. An auction ended past the grace period.</t>
  </si>
  <si>
    <t xml:space="preserve">1. Confirm nothing is scheduled.
2. Open the mini-app auction list, or the admin auction list.
3. Wait a few seconds and refresh.</t>
  </si>
  <si>
    <t>The read brings the lifecycle up to date immediately and triggers the rest of the pass in the background, so the auction settles and the winner is picked. Awarding a prize the platform already collected fees for does not require an external scheduler.</t>
  </si>
  <si>
    <t>CT-015</t>
  </si>
  <si>
    <t>The background pass is throttled and never blocks the page</t>
  </si>
  <si>
    <t>Performance</t>
  </si>
  <si>
    <t>A busy system with several auctions due.</t>
  </si>
  <si>
    <t xml:space="preserve">1. Load the auction list repeatedly in quick succession.
2. Measure the page response time.
3. Watch how often the background pass runs.</t>
  </si>
  <si>
    <t>Page responses are not delayed by settlement work, and the background pass runs at most once a minute per process and never two at a time.</t>
  </si>
  <si>
    <t>UAT Execution Summary</t>
  </si>
  <si>
    <t>Counts update automatically from the Status column of each module sheet.</t>
  </si>
  <si>
    <t>Total</t>
  </si>
  <si>
    <t>Pass</t>
  </si>
  <si>
    <t>Fail</t>
  </si>
  <si>
    <t>Blocked</t>
  </si>
  <si>
    <t>N/A</t>
  </si>
  <si>
    <t>Pass %</t>
  </si>
  <si>
    <t>Admin Access &amp; Sessions</t>
  </si>
  <si>
    <t>Mini-App Access &amp; Ads</t>
  </si>
  <si>
    <t>Settlement &amp; Winners</t>
  </si>
  <si>
    <t>Users &amp; Access Control</t>
  </si>
  <si>
    <t>Dashboard Reports &amp; Audit</t>
  </si>
  <si>
    <t>TOTAL</t>
  </si>
  <si>
    <t>Exit criteria: every High priority case executed, zero open Critical or High defects, and an overall pass rate of at least 95%.</t>
  </si>
  <si>
    <t>UAT Defect Log</t>
  </si>
  <si>
    <t>Raise one row per failed test case. Severity: Critical (money moved incorrectly, a prize awarded to the wrong bidder, bid amounts exposed, or the module is unusable), High (core function broken, no workaround), Medium (function broken with a workaround), Low (cosmetic).</t>
  </si>
  <si>
    <t>Defect ID</t>
  </si>
  <si>
    <t>Linked Test Case</t>
  </si>
  <si>
    <t>Summary</t>
  </si>
  <si>
    <t>Steps to Reproduce</t>
  </si>
  <si>
    <t>Expected</t>
  </si>
  <si>
    <t>Actual</t>
  </si>
  <si>
    <t>Severity</t>
  </si>
  <si>
    <t>Raised By</t>
  </si>
  <si>
    <t>Raised On</t>
  </si>
  <si>
    <t>Assigned To</t>
  </si>
  <si>
    <t>Resolution /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</si>
</sst>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10" x14ac:knownFonts="1">
    <font>
      <color theme="1"/>
      <family val="2"/>
      <scheme val="minor"/>
      <sz val="11"/>
      <name val="Calibri"/>
    </font>
    <font>
      <b/>
      <color rgb="FF1F3864"/>
      <sz val="16"/>
    </font>
    <font>
      <b/>
      <color rgb="FF5B6B8C"/>
      <sz val="11"/>
    </font>
    <font>
      <b/>
      <color rgb="FF1F3864"/>
      <sz val="10"/>
    </font>
    <font>
      <sz val="10"/>
    </font>
    <font>
      <b/>
      <color rgb="FFFFFFFF"/>
      <sz val="12"/>
    </font>
    <font>
      <b/>
      <color rgb="FFFFFFFF"/>
      <sz val="14"/>
    </font>
    <font>
      <i/>
      <color rgb="FF5B6B8C"/>
      <sz val="10"/>
    </font>
    <font>
      <b/>
      <color rgb="FFFFFFFF"/>
      <sz val="11"/>
    </font>
    <font>
      <b/>
      <color rgb="FFB00020"/>
      <sz val="10"/>
    </font>
  </fonts>
  <fills count="5">
    <fill>
      <patternFill patternType="none"/>
    </fill>
    <fill>
      <patternFill patternType="gray125"/>
    </fill>
    <fill>
      <patternFill patternType="solid">
        <fgColor rgb="FF2F5597"/>
      </patternFill>
    </fill>
    <fill>
      <patternFill patternType="solid">
        <fgColor rgb="FF1F3864"/>
      </patternFill>
    </fill>
    <fill>
      <patternFill patternType="solid">
        <fgColor rgb="FFF2F5FB"/>
      </patternFill>
    </fill>
  </fills>
  <borders count="2">
    <border>
      <left/>
      <right/>
      <top/>
      <bottom/>
      <diagonal/>
    </border>
    <border>
      <left style="thin">
        <color rgb="FFB8C4DC"/>
      </left>
      <right style="thin">
        <color rgb="FFB8C4DC"/>
      </right>
      <top style="thin">
        <color rgb="FFB8C4DC"/>
      </top>
      <bottom style="thin">
        <color rgb="FFB8C4DC"/>
      </bottom>
      <diagonal/>
    </border>
  </borders>
  <cellStyleXfs count="1">
    <xf numFmtId="0" fontId="0" fillId="0" borderId="0"/>
  </cellStyleXfs>
  <cellXfs count="34">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top"/>
    </xf>
    <xf numFmtId="0" fontId="4" fillId="0" borderId="0" xfId="0" applyFont="1" applyAlignment="1">
      <alignment vertical="top" wrapText="1"/>
    </xf>
    <xf numFmtId="0" fontId="5" fillId="2" borderId="0" xfId="0" applyFont="1" applyFill="1" applyAlignment="1">
      <alignment vertical="center" indent="1"/>
    </xf>
    <xf numFmtId="0" fontId="6" fillId="3" borderId="0" xfId="0" applyFont="1" applyFill="1" applyAlignment="1">
      <alignment horizontal="left" vertical="center" indent="1"/>
    </xf>
    <xf numFmtId="0" fontId="7" fillId="4" borderId="0" xfId="0" applyFont="1" applyFill="1" applyAlignment="1">
      <alignment horizontal="left" vertical="center" indent="1"/>
    </xf>
    <xf numFmtId="0" fontId="8" fillId="2" borderId="1" xfId="0" applyFont="1" applyFill="1" applyBorder="1" applyAlignment="1">
      <alignment horizontal="left" vertical="center" wrapText="1" inden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9" fillId="0" borderId="1" xfId="0" applyFont="1" applyBorder="1" applyAlignment="1">
      <alignment horizontal="center" vertical="top"/>
    </xf>
    <xf numFmtId="0" fontId="4" fillId="0" borderId="1" xfId="0" applyFont="1" applyBorder="1" applyAlignment="1">
      <alignment horizontal="center" vertical="top"/>
    </xf>
    <xf numFmtId="164" fontId="4" fillId="0" borderId="1" xfId="0" applyNumberFormat="1" applyFont="1" applyBorder="1" applyAlignment="1">
      <alignment horizontal="center" vertical="top"/>
    </xf>
    <xf numFmtId="0" fontId="3"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4" fillId="4" borderId="1" xfId="0" applyFont="1" applyFill="1" applyBorder="1" applyAlignment="1">
      <alignment horizontal="center" vertical="top" wrapText="1"/>
    </xf>
    <xf numFmtId="0" fontId="9" fillId="4" borderId="1" xfId="0" applyFont="1" applyFill="1" applyBorder="1" applyAlignment="1">
      <alignment horizontal="center" vertical="top"/>
    </xf>
    <xf numFmtId="0" fontId="4" fillId="4" borderId="1" xfId="0" applyFont="1" applyFill="1" applyBorder="1" applyAlignment="1">
      <alignment horizontal="center" vertical="top"/>
    </xf>
    <xf numFmtId="164" fontId="4" fillId="4" borderId="1" xfId="0" applyNumberFormat="1" applyFont="1" applyFill="1" applyBorder="1" applyAlignment="1">
      <alignment horizontal="center" vertical="top"/>
    </xf>
    <xf numFmtId="0" fontId="1" fillId="0" borderId="0" xfId="0" applyFont="1"/>
    <xf numFmtId="0" fontId="7" fillId="0" borderId="0" xfId="0" applyFont="1"/>
    <xf numFmtId="0" fontId="8" fillId="2" borderId="1" xfId="0" applyFont="1" applyFill="1" applyBorder="1" applyAlignment="1">
      <alignment horizontal="left" vertical="center" indent="1"/>
    </xf>
    <xf numFmtId="0" fontId="8" fillId="2" borderId="1" xfId="0" applyFont="1" applyFill="1" applyBorder="1" applyAlignment="1">
      <alignment horizontal="center" vertical="center" indent="1"/>
    </xf>
    <xf numFmtId="0" fontId="4" fillId="0" borderId="1" xfId="0" applyFont="1" applyBorder="1" applyAlignment="1">
      <alignment horizontal="left" vertical="center" indent="1"/>
    </xf>
    <xf numFmtId="0" fontId="4" fillId="0" borderId="1" xfId="0" applyFont="1" applyBorder="1" applyAlignment="1">
      <alignment horizontal="center" vertical="center" indent="1"/>
    </xf>
    <xf numFmtId="9" fontId="4" fillId="0" borderId="1" xfId="0" applyNumberFormat="1" applyFont="1" applyBorder="1" applyAlignment="1">
      <alignment horizontal="center" vertical="center" indent="1"/>
    </xf>
    <xf numFmtId="0" fontId="3" fillId="4" borderId="1" xfId="0" applyFont="1" applyFill="1" applyBorder="1" applyAlignment="1">
      <alignment horizontal="left" vertical="center" indent="1"/>
    </xf>
    <xf numFmtId="0" fontId="3" fillId="4" borderId="1" xfId="0" applyFont="1" applyFill="1" applyBorder="1" applyAlignment="1">
      <alignment horizontal="center" vertical="center" indent="1"/>
    </xf>
    <xf numFmtId="9" fontId="3" fillId="4" borderId="1" xfId="0" applyNumberFormat="1" applyFont="1" applyFill="1" applyBorder="1" applyAlignment="1">
      <alignment horizontal="center" vertical="center" indent="1"/>
    </xf>
    <xf numFmtId="0" fontId="7" fillId="4" borderId="0" xfId="0" applyFont="1" applyFill="1" applyAlignment="1">
      <alignment horizontal="left" vertical="center" wrapText="1" indent="1"/>
    </xf>
    <xf numFmtId="164" fontId="4" fillId="0" borderId="1" xfId="0" applyNumberFormat="1" applyFont="1" applyBorder="1" applyAlignment="1">
      <alignment horizontal="left" vertical="top" wrapText="1"/>
    </xf>
    <xf numFmtId="164" fontId="4" fillId="4" borderId="1" xfId="0" applyNumberFormat="1" applyFont="1" applyFill="1" applyBorder="1" applyAlignment="1">
      <alignment horizontal="left" vertical="top" wrapText="1"/>
    </xf>
  </cellXfs>
  <cellStyles count="1">
    <cellStyle name="Normal" xfId="0" builtinId="0"/>
  </cellStyles>
  <dxfs count="48">
    <dxf>
      <font>
        <b/>
        <color rgb="FF14663D"/>
      </font>
      <fill>
        <patternFill patternType="solid">
          <fgColor rgb="FFD9F2E3"/>
        </patternFill>
      </fill>
    </dxf>
    <dxf>
      <font>
        <b/>
        <color rgb="FFB00020"/>
      </font>
      <fill>
        <patternFill patternType="solid">
          <fgColor rgb="FFFBD9DC"/>
        </patternFill>
      </fill>
    </dxf>
    <dxf>
      <font>
        <b/>
        <color rgb="FF8A5A00"/>
      </font>
      <fill>
        <patternFill patternType="solid">
          <fgColor rgb="FFFDECCB"/>
        </patternFill>
      </fill>
    </dxf>
    <dxf>
      <font>
        <b/>
        <color rgb="FF14663D"/>
      </font>
      <fill>
        <patternFill patternType="solid">
          <fgColor rgb="FFD9F2E3"/>
        </patternFill>
      </fill>
    </dxf>
    <dxf>
      <font>
        <b/>
        <color rgb="FFB00020"/>
      </font>
      <fill>
        <patternFill patternType="solid">
          <fgColor rgb="FFFBD9DC"/>
        </patternFill>
      </fill>
    </dxf>
    <dxf>
      <font>
        <b/>
        <color rgb="FF8A5A00"/>
      </font>
      <fill>
        <patternFill patternType="solid">
          <fgColor rgb="FFFDECCB"/>
        </patternFill>
      </fill>
    </dxf>
    <dxf>
      <font>
        <b/>
        <color rgb="FF14663D"/>
      </font>
      <fill>
        <patternFill patternType="solid">
          <fgColor rgb="FFD9F2E3"/>
        </patternFill>
      </fill>
    </dxf>
    <dxf>
      <font>
        <b/>
        <color rgb="FFB00020"/>
      </font>
      <fill>
        <patternFill patternType="solid">
          <fgColor rgb="FFFBD9DC"/>
        </patternFill>
      </fill>
    </dxf>
    <dxf>
      <font>
        <b/>
        <color rgb="FF8A5A00"/>
      </font>
      <fill>
        <patternFill patternType="solid">
          <fgColor rgb="FFFDECCB"/>
        </patternFill>
      </fill>
    </dxf>
    <dxf>
      <font>
        <b/>
        <color rgb="FF14663D"/>
      </font>
      <fill>
        <patternFill patternType="solid">
          <fgColor rgb="FFD9F2E3"/>
        </patternFill>
      </fill>
    </dxf>
    <dxf>
      <font>
        <b/>
        <color rgb="FFB00020"/>
      </font>
      <fill>
        <patternFill patternType="solid">
          <fgColor rgb="FFFBD9DC"/>
        </patternFill>
      </fill>
    </dxf>
    <dxf>
      <font>
        <b/>
        <color rgb="FF8A5A00"/>
      </font>
      <fill>
        <patternFill patternType="solid">
          <fgColor rgb="FFFDECCB"/>
        </patternFill>
      </fill>
    </dxf>
    <dxf>
      <font>
        <b/>
        <color rgb="FF14663D"/>
      </font>
      <fill>
        <patternFill patternType="solid">
          <fgColor rgb="FFD9F2E3"/>
        </patternFill>
      </fill>
    </dxf>
    <dxf>
      <font>
        <b/>
        <color rgb="FFB00020"/>
      </font>
      <fill>
        <patternFill patternType="solid">
          <fgColor rgb="FFFBD9DC"/>
        </patternFill>
      </fill>
    </dxf>
    <dxf>
      <font>
        <b/>
        <color rgb="FF8A5A00"/>
      </font>
      <fill>
        <patternFill patternType="solid">
          <fgColor rgb="FFFDECCB"/>
        </patternFill>
      </fill>
    </dxf>
    <dxf>
      <font>
        <b/>
        <color rgb="FF14663D"/>
      </font>
      <fill>
        <patternFill patternType="solid">
          <fgColor rgb="FFD9F2E3"/>
        </patternFill>
      </fill>
    </dxf>
    <dxf>
      <font>
        <b/>
        <color rgb="FFB00020"/>
      </font>
      <fill>
        <patternFill patternType="solid">
          <fgColor rgb="FFFBD9DC"/>
        </patternFill>
      </fill>
    </dxf>
    <dxf>
      <font>
        <b/>
        <color rgb="FF8A5A00"/>
      </font>
      <fill>
        <patternFill patternType="solid">
          <fgColor rgb="FFFDECCB"/>
        </patternFill>
      </fill>
    </dxf>
    <dxf>
      <font>
        <b/>
        <color rgb="FF14663D"/>
      </font>
      <fill>
        <patternFill patternType="solid">
          <fgColor rgb="FFD9F2E3"/>
        </patternFill>
      </fill>
    </dxf>
    <dxf>
      <font>
        <b/>
        <color rgb="FFB00020"/>
      </font>
      <fill>
        <patternFill patternType="solid">
          <fgColor rgb="FFFBD9DC"/>
        </patternFill>
      </fill>
    </dxf>
    <dxf>
      <font>
        <b/>
        <color rgb="FF8A5A00"/>
      </font>
      <fill>
        <patternFill patternType="solid">
          <fgColor rgb="FFFDECCB"/>
        </patternFill>
      </fill>
    </dxf>
    <dxf>
      <font>
        <b/>
        <color rgb="FF14663D"/>
      </font>
      <fill>
        <patternFill patternType="solid">
          <fgColor rgb="FFD9F2E3"/>
        </patternFill>
      </fill>
    </dxf>
    <dxf>
      <font>
        <b/>
        <color rgb="FFB00020"/>
      </font>
      <fill>
        <patternFill patternType="solid">
          <fgColor rgb="FFFBD9DC"/>
        </patternFill>
      </fill>
    </dxf>
    <dxf>
      <font>
        <b/>
        <color rgb="FF8A5A00"/>
      </font>
      <fill>
        <patternFill patternType="solid">
          <fgColor rgb="FFFDECCB"/>
        </patternFill>
      </fill>
    </dxf>
    <dxf>
      <font>
        <b/>
        <color rgb="FF14663D"/>
      </font>
      <fill>
        <patternFill patternType="solid">
          <fgColor rgb="FFD9F2E3"/>
        </patternFill>
      </fill>
    </dxf>
    <dxf>
      <font>
        <b/>
        <color rgb="FFB00020"/>
      </font>
      <fill>
        <patternFill patternType="solid">
          <fgColor rgb="FFFBD9DC"/>
        </patternFill>
      </fill>
    </dxf>
    <dxf>
      <font>
        <b/>
        <color rgb="FF8A5A00"/>
      </font>
      <fill>
        <patternFill patternType="solid">
          <fgColor rgb="FFFDECCB"/>
        </patternFill>
      </fill>
    </dxf>
    <dxf>
      <font>
        <b/>
        <color rgb="FF14663D"/>
      </font>
      <fill>
        <patternFill patternType="solid">
          <fgColor rgb="FFD9F2E3"/>
        </patternFill>
      </fill>
    </dxf>
    <dxf>
      <font>
        <b/>
        <color rgb="FFB00020"/>
      </font>
      <fill>
        <patternFill patternType="solid">
          <fgColor rgb="FFFBD9DC"/>
        </patternFill>
      </fill>
    </dxf>
    <dxf>
      <font>
        <b/>
        <color rgb="FF8A5A00"/>
      </font>
      <fill>
        <patternFill patternType="solid">
          <fgColor rgb="FFFDECCB"/>
        </patternFill>
      </fill>
    </dxf>
    <dxf>
      <font>
        <b/>
        <color rgb="FF14663D"/>
      </font>
      <fill>
        <patternFill patternType="solid">
          <fgColor rgb="FFD9F2E3"/>
        </patternFill>
      </fill>
    </dxf>
    <dxf>
      <font>
        <b/>
        <color rgb="FFB00020"/>
      </font>
      <fill>
        <patternFill patternType="solid">
          <fgColor rgb="FFFBD9DC"/>
        </patternFill>
      </fill>
    </dxf>
    <dxf>
      <font>
        <b/>
        <color rgb="FF8A5A00"/>
      </font>
      <fill>
        <patternFill patternType="solid">
          <fgColor rgb="FFFDECCB"/>
        </patternFill>
      </fill>
    </dxf>
    <dxf>
      <font>
        <b/>
        <color rgb="FF14663D"/>
      </font>
      <fill>
        <patternFill patternType="solid">
          <fgColor rgb="FFD9F2E3"/>
        </patternFill>
      </fill>
    </dxf>
    <dxf>
      <font>
        <b/>
        <color rgb="FFB00020"/>
      </font>
      <fill>
        <patternFill patternType="solid">
          <fgColor rgb="FFFBD9DC"/>
        </patternFill>
      </fill>
    </dxf>
    <dxf>
      <font>
        <b/>
        <color rgb="FF8A5A00"/>
      </font>
      <fill>
        <patternFill patternType="solid">
          <fgColor rgb="FFFDECCB"/>
        </patternFill>
      </fill>
    </dxf>
    <dxf>
      <font>
        <b/>
        <color rgb="FF14663D"/>
      </font>
      <fill>
        <patternFill patternType="solid">
          <fgColor rgb="FFD9F2E3"/>
        </patternFill>
      </fill>
    </dxf>
    <dxf>
      <font>
        <b/>
        <color rgb="FFB00020"/>
      </font>
      <fill>
        <patternFill patternType="solid">
          <fgColor rgb="FFFBD9DC"/>
        </patternFill>
      </fill>
    </dxf>
    <dxf>
      <font>
        <b/>
        <color rgb="FF8A5A00"/>
      </font>
      <fill>
        <patternFill patternType="solid">
          <fgColor rgb="FFFDECCB"/>
        </patternFill>
      </fill>
    </dxf>
    <dxf>
      <font>
        <b/>
        <color rgb="FF14663D"/>
      </font>
      <fill>
        <patternFill patternType="solid">
          <fgColor rgb="FFD9F2E3"/>
        </patternFill>
      </fill>
    </dxf>
    <dxf>
      <font>
        <b/>
        <color rgb="FFB00020"/>
      </font>
      <fill>
        <patternFill patternType="solid">
          <fgColor rgb="FFFBD9DC"/>
        </patternFill>
      </fill>
    </dxf>
    <dxf>
      <font>
        <b/>
        <color rgb="FF8A5A00"/>
      </font>
      <fill>
        <patternFill patternType="solid">
          <fgColor rgb="FFFDECCB"/>
        </patternFill>
      </fill>
    </dxf>
    <dxf>
      <font>
        <b/>
        <color rgb="FF14663D"/>
      </font>
      <fill>
        <patternFill patternType="solid">
          <fgColor rgb="FFD9F2E3"/>
        </patternFill>
      </fill>
    </dxf>
    <dxf>
      <font>
        <b/>
        <color rgb="FFB00020"/>
      </font>
      <fill>
        <patternFill patternType="solid">
          <fgColor rgb="FFFBD9DC"/>
        </patternFill>
      </fill>
    </dxf>
    <dxf>
      <font>
        <b/>
        <color rgb="FF8A5A00"/>
      </font>
      <fill>
        <patternFill patternType="solid">
          <fgColor rgb="FFFDECCB"/>
        </patternFill>
      </fill>
    </dxf>
    <dxf>
      <font>
        <b/>
        <color rgb="FF14663D"/>
      </font>
      <fill>
        <patternFill patternType="solid">
          <fgColor rgb="FFD9F2E3"/>
        </patternFill>
      </fill>
    </dxf>
    <dxf>
      <font>
        <b/>
        <color rgb="FFB00020"/>
      </font>
      <fill>
        <patternFill patternType="solid">
          <fgColor rgb="FFFBD9DC"/>
        </patternFill>
      </fill>
    </dxf>
    <dxf>
      <font>
        <b/>
        <color rgb="FF8A5A00"/>
      </font>
      <fill>
        <patternFill patternType="solid">
          <fgColor rgb="FFFDECC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40"/>
  <sheetViews>
    <sheetView workbookViewId="0" showGridLines="0" zoomScale="100"/>
  </sheetViews>
  <sheetFormatPr defaultRowHeight="15" outlineLevelRow="0" outlineLevelCol="0" x14ac:dyDescent="55"/>
  <cols>
    <col min="1" max="1" width="3" customWidth="1"/>
    <col min="2" max="2" width="26" customWidth="1"/>
    <col min="3" max="3" width="118" customWidth="1"/>
  </cols>
  <sheetData>
    <row r="2" ht="28" customHeight="1" spans="2:3" x14ac:dyDescent="0.25">
      <c r="B2" s="1" t="s">
        <v>0</v>
      </c>
      <c r="C2" s="1"/>
    </row>
    <row r="3" ht="20" customHeight="1" spans="2:3" x14ac:dyDescent="0.25">
      <c r="B3" s="2" t="s">
        <v>1</v>
      </c>
      <c r="C3" s="2"/>
    </row>
    <row r="5" ht="18" customHeight="1" spans="2:3" x14ac:dyDescent="0.25">
      <c r="B5" s="3" t="s">
        <v>2</v>
      </c>
      <c r="C5" s="4" t="s">
        <v>3</v>
      </c>
    </row>
    <row r="6" ht="18" customHeight="1" spans="2:3" x14ac:dyDescent="0.25">
      <c r="B6" s="3" t="s">
        <v>4</v>
      </c>
      <c r="C6" s="4" t="s">
        <v>5</v>
      </c>
    </row>
    <row r="7" ht="30" customHeight="1" spans="2:3" x14ac:dyDescent="0.25">
      <c r="B7" s="3" t="s">
        <v>6</v>
      </c>
      <c r="C7" s="4" t="s">
        <v>7</v>
      </c>
    </row>
    <row r="8" ht="30" customHeight="1" spans="2:3" x14ac:dyDescent="0.25">
      <c r="B8" s="3" t="s">
        <v>8</v>
      </c>
      <c r="C8" s="4" t="s">
        <v>9</v>
      </c>
    </row>
    <row r="9" ht="18" customHeight="1" spans="2:3" x14ac:dyDescent="0.25">
      <c r="B9" s="3" t="s">
        <v>10</v>
      </c>
      <c r="C9" s="4">
        <v>314</v>
      </c>
    </row>
    <row r="10" ht="18" customHeight="1" spans="2:3" x14ac:dyDescent="0.25">
      <c r="B10" s="3" t="s">
        <v>11</v>
      </c>
      <c r="C10" s="4" t="s">
        <v>12</v>
      </c>
    </row>
    <row r="11" ht="18" customHeight="1" spans="2:3" x14ac:dyDescent="0.25">
      <c r="B11" s="3" t="s">
        <v>13</v>
      </c>
      <c r="C11" s="4" t="s">
        <v>14</v>
      </c>
    </row>
    <row r="12" ht="18" customHeight="1" spans="2:3" x14ac:dyDescent="0.25">
      <c r="B12" s="3" t="s">
        <v>15</v>
      </c>
      <c r="C12" s="4" t="s">
        <v>16</v>
      </c>
    </row>
    <row r="13" ht="18" customHeight="1" spans="2:3" x14ac:dyDescent="0.25">
      <c r="B13" s="3" t="s">
        <v>17</v>
      </c>
      <c r="C13" s="4" t="s">
        <v>16</v>
      </c>
    </row>
    <row r="14" ht="18" customHeight="1" spans="2:3" x14ac:dyDescent="0.25">
      <c r="B14" s="3" t="s">
        <v>18</v>
      </c>
      <c r="C14" s="4" t="s">
        <v>16</v>
      </c>
    </row>
    <row r="15" ht="18" customHeight="1" spans="2:3" x14ac:dyDescent="0.25">
      <c r="B15" s="3" t="s">
        <v>19</v>
      </c>
      <c r="C15" s="4" t="s">
        <v>16</v>
      </c>
    </row>
    <row r="16" ht="18" customHeight="1" spans="2:3" x14ac:dyDescent="0.25">
      <c r="B16" s="3" t="s">
        <v>20</v>
      </c>
      <c r="C16" s="4" t="s">
        <v>16</v>
      </c>
    </row>
    <row r="18" ht="24" customHeight="1" spans="2:3" x14ac:dyDescent="0.25">
      <c r="B18" s="5" t="s">
        <v>21</v>
      </c>
      <c r="C18" s="5"/>
    </row>
    <row r="19" ht="30" customHeight="1" spans="2:3" x14ac:dyDescent="0.25">
      <c r="B19" s="3" t="s">
        <v>22</v>
      </c>
      <c r="C19" s="4" t="s">
        <v>23</v>
      </c>
    </row>
    <row r="20" ht="30" customHeight="1" spans="2:3" x14ac:dyDescent="0.25">
      <c r="B20" s="3" t="s">
        <v>24</v>
      </c>
      <c r="C20" s="4" t="s">
        <v>25</v>
      </c>
    </row>
    <row r="21" ht="30" customHeight="1" spans="2:3" x14ac:dyDescent="0.25">
      <c r="B21" s="3" t="s">
        <v>26</v>
      </c>
      <c r="C21" s="4" t="s">
        <v>27</v>
      </c>
    </row>
    <row r="22" ht="30" customHeight="1" spans="2:3" x14ac:dyDescent="0.25">
      <c r="B22" s="3" t="s">
        <v>28</v>
      </c>
      <c r="C22" s="4" t="s">
        <v>29</v>
      </c>
    </row>
    <row r="23" ht="30" customHeight="1" spans="2:3" x14ac:dyDescent="0.25">
      <c r="B23" s="3" t="s">
        <v>30</v>
      </c>
      <c r="C23" s="4" t="s">
        <v>31</v>
      </c>
    </row>
    <row r="24" ht="30" customHeight="1" spans="2:3" x14ac:dyDescent="0.25">
      <c r="B24" s="3" t="s">
        <v>32</v>
      </c>
      <c r="C24" s="4" t="s">
        <v>33</v>
      </c>
    </row>
    <row r="25" ht="30" customHeight="1" spans="2:3" x14ac:dyDescent="0.25">
      <c r="B25" s="3" t="s">
        <v>34</v>
      </c>
      <c r="C25" s="4" t="s">
        <v>35</v>
      </c>
    </row>
    <row r="26" ht="30" customHeight="1" spans="2:3" x14ac:dyDescent="0.25">
      <c r="B26" s="3" t="s">
        <v>36</v>
      </c>
      <c r="C26" s="4" t="s">
        <v>37</v>
      </c>
    </row>
    <row r="28" ht="24" customHeight="1" spans="2:3" x14ac:dyDescent="0.25">
      <c r="B28" s="5" t="s">
        <v>38</v>
      </c>
      <c r="C28" s="5"/>
    </row>
    <row r="29" ht="30" customHeight="1" spans="2:3" x14ac:dyDescent="0.25">
      <c r="B29" s="3" t="s">
        <v>39</v>
      </c>
      <c r="C29" s="4" t="s">
        <v>40</v>
      </c>
    </row>
    <row r="30" ht="30" customHeight="1" spans="2:3" x14ac:dyDescent="0.25">
      <c r="B30" s="3" t="s">
        <v>41</v>
      </c>
      <c r="C30" s="4" t="s">
        <v>42</v>
      </c>
    </row>
    <row r="31" ht="30" customHeight="1" spans="2:3" x14ac:dyDescent="0.25">
      <c r="B31" s="3" t="s">
        <v>43</v>
      </c>
      <c r="C31" s="4" t="s">
        <v>44</v>
      </c>
    </row>
    <row r="32" ht="30" customHeight="1" spans="2:3" x14ac:dyDescent="0.25">
      <c r="B32" s="3" t="s">
        <v>45</v>
      </c>
      <c r="C32" s="4" t="s">
        <v>46</v>
      </c>
    </row>
    <row r="33" ht="30" customHeight="1" spans="2:3" x14ac:dyDescent="0.25">
      <c r="B33" s="3" t="s">
        <v>47</v>
      </c>
      <c r="C33" s="4" t="s">
        <v>48</v>
      </c>
    </row>
    <row r="34" ht="30" customHeight="1" spans="2:3" x14ac:dyDescent="0.25">
      <c r="B34" s="3" t="s">
        <v>49</v>
      </c>
      <c r="C34" s="4" t="s">
        <v>50</v>
      </c>
    </row>
    <row r="35" ht="30" customHeight="1" spans="2:3" x14ac:dyDescent="0.25">
      <c r="B35" s="3" t="s">
        <v>51</v>
      </c>
      <c r="C35" s="4" t="s">
        <v>52</v>
      </c>
    </row>
    <row r="36" ht="30" customHeight="1" spans="2:3" x14ac:dyDescent="0.25">
      <c r="B36" s="3" t="s">
        <v>53</v>
      </c>
      <c r="C36" s="4" t="s">
        <v>54</v>
      </c>
    </row>
    <row r="37" ht="30" customHeight="1" spans="2:3" x14ac:dyDescent="0.25">
      <c r="B37" s="3" t="s">
        <v>55</v>
      </c>
      <c r="C37" s="4" t="s">
        <v>56</v>
      </c>
    </row>
    <row r="38" ht="30" customHeight="1" spans="2:3" x14ac:dyDescent="0.25">
      <c r="B38" s="3" t="s">
        <v>57</v>
      </c>
      <c r="C38" s="4" t="s">
        <v>58</v>
      </c>
    </row>
    <row r="39" ht="30" customHeight="1" spans="2:3" x14ac:dyDescent="0.25">
      <c r="B39" s="3" t="s">
        <v>59</v>
      </c>
      <c r="C39" s="4" t="s">
        <v>60</v>
      </c>
    </row>
    <row r="40" ht="30" customHeight="1" spans="2:3" x14ac:dyDescent="0.25">
      <c r="B40" s="3" t="s">
        <v>61</v>
      </c>
      <c r="C40" s="4" t="s">
        <v>62</v>
      </c>
    </row>
  </sheetData>
  <mergeCells count="4">
    <mergeCell ref="B2:C2"/>
    <mergeCell ref="B3:C3"/>
    <mergeCell ref="B18:C18"/>
    <mergeCell ref="B28:C2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workbookViewId="0" zoomScale="90">
      <pane xSplit="1" ySplit="3" topLeftCell="B4" activePane="bottomRight" state="frozen"/>
      <selection pane="bottomRight"/>
    </sheetView>
  </sheetViews>
  <sheetFormatPr defaultRowHeight="15" outlineLevelRow="0" outlineLevelCol="0" x14ac:dyDescent="55"/>
  <cols>
    <col min="1" max="1" width="12" customWidth="1"/>
    <col min="2" max="2" width="20" customWidth="1"/>
    <col min="3" max="3" width="22" customWidth="1"/>
    <col min="4" max="4" width="46" customWidth="1"/>
    <col min="5" max="5" width="14" customWidth="1"/>
    <col min="6" max="6" width="10" customWidth="1"/>
    <col min="7" max="7" width="38" customWidth="1"/>
    <col min="8" max="8" width="50" customWidth="1"/>
    <col min="9" max="9" width="26" customWidth="1"/>
    <col min="10" max="10" width="66" customWidth="1"/>
    <col min="11" max="11" width="30" customWidth="1"/>
    <col min="12" max="14" width="14" customWidth="1"/>
    <col min="15" max="15" width="26" customWidth="1"/>
  </cols>
  <sheetData>
    <row r="1" ht="28" customHeight="1" spans="1:15" x14ac:dyDescent="0.25">
      <c r="A1" s="6" t="s">
        <v>63</v>
      </c>
      <c r="B1" s="6"/>
      <c r="C1" s="6"/>
      <c r="D1" s="6"/>
      <c r="E1" s="6"/>
      <c r="F1" s="6"/>
      <c r="G1" s="6"/>
      <c r="H1" s="6"/>
      <c r="I1" s="6"/>
      <c r="J1" s="6"/>
      <c r="K1" s="6"/>
      <c r="L1" s="6"/>
      <c r="M1" s="6"/>
      <c r="N1" s="6"/>
      <c r="O1" s="6"/>
    </row>
    <row r="2" ht="20" customHeight="1" spans="1:15" x14ac:dyDescent="0.25">
      <c r="A2" s="7" t="s">
        <v>64</v>
      </c>
      <c r="B2" s="7"/>
      <c r="C2" s="7"/>
      <c r="D2" s="7"/>
      <c r="E2" s="7"/>
      <c r="F2" s="7"/>
      <c r="G2" s="7"/>
      <c r="H2" s="7"/>
      <c r="I2" s="7"/>
      <c r="J2" s="7"/>
      <c r="K2" s="7"/>
      <c r="L2" s="7"/>
      <c r="M2" s="7"/>
      <c r="N2" s="7"/>
      <c r="O2" s="7"/>
    </row>
    <row r="3" ht="30" customHeight="1" spans="1:15" x14ac:dyDescent="0.25">
      <c r="A3" s="8" t="s">
        <v>65</v>
      </c>
      <c r="B3" s="8" t="s">
        <v>66</v>
      </c>
      <c r="C3" s="8" t="s">
        <v>67</v>
      </c>
      <c r="D3" s="8" t="s">
        <v>68</v>
      </c>
      <c r="E3" s="8" t="s">
        <v>69</v>
      </c>
      <c r="F3" s="8" t="s">
        <v>70</v>
      </c>
      <c r="G3" s="8" t="s">
        <v>71</v>
      </c>
      <c r="H3" s="8" t="s">
        <v>72</v>
      </c>
      <c r="I3" s="8" t="s">
        <v>73</v>
      </c>
      <c r="J3" s="8" t="s">
        <v>74</v>
      </c>
      <c r="K3" s="8" t="s">
        <v>75</v>
      </c>
      <c r="L3" s="8" t="s">
        <v>76</v>
      </c>
      <c r="M3" s="8" t="s">
        <v>77</v>
      </c>
      <c r="N3" s="8" t="s">
        <v>78</v>
      </c>
      <c r="O3" s="8" t="s">
        <v>79</v>
      </c>
    </row>
    <row r="4" ht="56" customHeight="1" spans="1:15" x14ac:dyDescent="0.25">
      <c r="A4" s="9" t="s">
        <v>80</v>
      </c>
      <c r="B4" s="10" t="s">
        <v>81</v>
      </c>
      <c r="C4" s="10" t="s">
        <v>82</v>
      </c>
      <c r="D4" s="10" t="s">
        <v>83</v>
      </c>
      <c r="E4" s="11" t="s">
        <v>84</v>
      </c>
      <c r="F4" s="12" t="s">
        <v>85</v>
      </c>
      <c r="G4" s="10" t="s">
        <v>86</v>
      </c>
      <c r="H4" s="10" t="s">
        <v>87</v>
      </c>
      <c r="I4" s="10" t="s">
        <v>88</v>
      </c>
      <c r="J4" s="10" t="s">
        <v>89</v>
      </c>
      <c r="K4" s="10" t="s">
        <v>16</v>
      </c>
      <c r="L4" s="13" t="s">
        <v>90</v>
      </c>
      <c r="M4" s="10" t="s">
        <v>16</v>
      </c>
      <c r="N4" s="14" t="s">
        <v>16</v>
      </c>
      <c r="O4" s="10" t="s">
        <v>16</v>
      </c>
    </row>
    <row r="5" ht="46" customHeight="1" spans="1:15" x14ac:dyDescent="0.25">
      <c r="A5" s="15" t="s">
        <v>91</v>
      </c>
      <c r="B5" s="16" t="s">
        <v>81</v>
      </c>
      <c r="C5" s="16" t="s">
        <v>82</v>
      </c>
      <c r="D5" s="16" t="s">
        <v>92</v>
      </c>
      <c r="E5" s="17" t="s">
        <v>93</v>
      </c>
      <c r="F5" s="18" t="s">
        <v>85</v>
      </c>
      <c r="G5" s="16" t="s">
        <v>94</v>
      </c>
      <c r="H5" s="16" t="s">
        <v>95</v>
      </c>
      <c r="I5" s="16" t="s">
        <v>96</v>
      </c>
      <c r="J5" s="16" t="s">
        <v>97</v>
      </c>
      <c r="K5" s="16" t="s">
        <v>16</v>
      </c>
      <c r="L5" s="19" t="s">
        <v>90</v>
      </c>
      <c r="M5" s="16" t="s">
        <v>16</v>
      </c>
      <c r="N5" s="20" t="s">
        <v>16</v>
      </c>
      <c r="O5" s="16" t="s">
        <v>16</v>
      </c>
    </row>
    <row r="6" ht="46" customHeight="1" spans="1:15" x14ac:dyDescent="0.25">
      <c r="A6" s="9" t="s">
        <v>98</v>
      </c>
      <c r="B6" s="10" t="s">
        <v>81</v>
      </c>
      <c r="C6" s="10" t="s">
        <v>82</v>
      </c>
      <c r="D6" s="10" t="s">
        <v>99</v>
      </c>
      <c r="E6" s="11" t="s">
        <v>84</v>
      </c>
      <c r="F6" s="12" t="s">
        <v>85</v>
      </c>
      <c r="G6" s="10" t="s">
        <v>100</v>
      </c>
      <c r="H6" s="10" t="s">
        <v>101</v>
      </c>
      <c r="I6" s="10" t="s">
        <v>102</v>
      </c>
      <c r="J6" s="10" t="s">
        <v>103</v>
      </c>
      <c r="K6" s="10" t="s">
        <v>16</v>
      </c>
      <c r="L6" s="13" t="s">
        <v>90</v>
      </c>
      <c r="M6" s="10" t="s">
        <v>16</v>
      </c>
      <c r="N6" s="14" t="s">
        <v>16</v>
      </c>
      <c r="O6" s="10" t="s">
        <v>16</v>
      </c>
    </row>
    <row r="7" ht="46" customHeight="1" spans="1:15" x14ac:dyDescent="0.25">
      <c r="A7" s="15" t="s">
        <v>104</v>
      </c>
      <c r="B7" s="16" t="s">
        <v>81</v>
      </c>
      <c r="C7" s="16" t="s">
        <v>82</v>
      </c>
      <c r="D7" s="16" t="s">
        <v>105</v>
      </c>
      <c r="E7" s="17" t="s">
        <v>84</v>
      </c>
      <c r="F7" s="18" t="s">
        <v>85</v>
      </c>
      <c r="G7" s="16" t="s">
        <v>106</v>
      </c>
      <c r="H7" s="16" t="s">
        <v>107</v>
      </c>
      <c r="I7" s="16" t="s">
        <v>108</v>
      </c>
      <c r="J7" s="16" t="s">
        <v>109</v>
      </c>
      <c r="K7" s="16" t="s">
        <v>16</v>
      </c>
      <c r="L7" s="19" t="s">
        <v>90</v>
      </c>
      <c r="M7" s="16" t="s">
        <v>16</v>
      </c>
      <c r="N7" s="20" t="s">
        <v>16</v>
      </c>
      <c r="O7" s="16" t="s">
        <v>16</v>
      </c>
    </row>
    <row r="8" ht="46" customHeight="1" spans="1:15" x14ac:dyDescent="0.25">
      <c r="A8" s="9" t="s">
        <v>110</v>
      </c>
      <c r="B8" s="10" t="s">
        <v>81</v>
      </c>
      <c r="C8" s="10" t="s">
        <v>82</v>
      </c>
      <c r="D8" s="10" t="s">
        <v>111</v>
      </c>
      <c r="E8" s="11" t="s">
        <v>84</v>
      </c>
      <c r="F8" s="12" t="s">
        <v>85</v>
      </c>
      <c r="G8" s="10" t="s">
        <v>112</v>
      </c>
      <c r="H8" s="10" t="s">
        <v>113</v>
      </c>
      <c r="I8" s="10" t="s">
        <v>114</v>
      </c>
      <c r="J8" s="10" t="s">
        <v>115</v>
      </c>
      <c r="K8" s="10" t="s">
        <v>16</v>
      </c>
      <c r="L8" s="13" t="s">
        <v>90</v>
      </c>
      <c r="M8" s="10" t="s">
        <v>16</v>
      </c>
      <c r="N8" s="14" t="s">
        <v>16</v>
      </c>
      <c r="O8" s="10" t="s">
        <v>16</v>
      </c>
    </row>
    <row r="9" ht="46" customHeight="1" spans="1:15" x14ac:dyDescent="0.25">
      <c r="A9" s="15" t="s">
        <v>116</v>
      </c>
      <c r="B9" s="16" t="s">
        <v>81</v>
      </c>
      <c r="C9" s="16" t="s">
        <v>82</v>
      </c>
      <c r="D9" s="16" t="s">
        <v>117</v>
      </c>
      <c r="E9" s="17" t="s">
        <v>84</v>
      </c>
      <c r="F9" s="18" t="s">
        <v>85</v>
      </c>
      <c r="G9" s="16" t="s">
        <v>118</v>
      </c>
      <c r="H9" s="16" t="s">
        <v>119</v>
      </c>
      <c r="I9" s="16" t="s">
        <v>120</v>
      </c>
      <c r="J9" s="16" t="s">
        <v>121</v>
      </c>
      <c r="K9" s="16" t="s">
        <v>16</v>
      </c>
      <c r="L9" s="19" t="s">
        <v>90</v>
      </c>
      <c r="M9" s="16" t="s">
        <v>16</v>
      </c>
      <c r="N9" s="20" t="s">
        <v>16</v>
      </c>
      <c r="O9" s="16" t="s">
        <v>16</v>
      </c>
    </row>
    <row r="10" ht="46" customHeight="1" spans="1:15" x14ac:dyDescent="0.25">
      <c r="A10" s="9" t="s">
        <v>122</v>
      </c>
      <c r="B10" s="10" t="s">
        <v>81</v>
      </c>
      <c r="C10" s="10" t="s">
        <v>82</v>
      </c>
      <c r="D10" s="10" t="s">
        <v>123</v>
      </c>
      <c r="E10" s="11" t="s">
        <v>93</v>
      </c>
      <c r="F10" s="13" t="s">
        <v>124</v>
      </c>
      <c r="G10" s="10" t="s">
        <v>125</v>
      </c>
      <c r="H10" s="10" t="s">
        <v>126</v>
      </c>
      <c r="I10" s="10" t="s">
        <v>127</v>
      </c>
      <c r="J10" s="10" t="s">
        <v>128</v>
      </c>
      <c r="K10" s="10" t="s">
        <v>16</v>
      </c>
      <c r="L10" s="13" t="s">
        <v>90</v>
      </c>
      <c r="M10" s="10" t="s">
        <v>16</v>
      </c>
      <c r="N10" s="14" t="s">
        <v>16</v>
      </c>
      <c r="O10" s="10" t="s">
        <v>16</v>
      </c>
    </row>
    <row r="11" ht="46" customHeight="1" spans="1:15" x14ac:dyDescent="0.25">
      <c r="A11" s="15" t="s">
        <v>129</v>
      </c>
      <c r="B11" s="16" t="s">
        <v>81</v>
      </c>
      <c r="C11" s="16" t="s">
        <v>82</v>
      </c>
      <c r="D11" s="16" t="s">
        <v>130</v>
      </c>
      <c r="E11" s="17" t="s">
        <v>84</v>
      </c>
      <c r="F11" s="18" t="s">
        <v>85</v>
      </c>
      <c r="G11" s="16" t="s">
        <v>131</v>
      </c>
      <c r="H11" s="16" t="s">
        <v>132</v>
      </c>
      <c r="I11" s="16" t="s">
        <v>133</v>
      </c>
      <c r="J11" s="16" t="s">
        <v>134</v>
      </c>
      <c r="K11" s="16" t="s">
        <v>16</v>
      </c>
      <c r="L11" s="19" t="s">
        <v>90</v>
      </c>
      <c r="M11" s="16" t="s">
        <v>16</v>
      </c>
      <c r="N11" s="20" t="s">
        <v>16</v>
      </c>
      <c r="O11" s="16" t="s">
        <v>16</v>
      </c>
    </row>
    <row r="12" ht="46" customHeight="1" spans="1:15" x14ac:dyDescent="0.25">
      <c r="A12" s="9" t="s">
        <v>135</v>
      </c>
      <c r="B12" s="10" t="s">
        <v>81</v>
      </c>
      <c r="C12" s="10" t="s">
        <v>82</v>
      </c>
      <c r="D12" s="10" t="s">
        <v>136</v>
      </c>
      <c r="E12" s="11" t="s">
        <v>84</v>
      </c>
      <c r="F12" s="13" t="s">
        <v>124</v>
      </c>
      <c r="G12" s="10" t="s">
        <v>137</v>
      </c>
      <c r="H12" s="10" t="s">
        <v>138</v>
      </c>
      <c r="I12" s="10" t="s">
        <v>139</v>
      </c>
      <c r="J12" s="10" t="s">
        <v>140</v>
      </c>
      <c r="K12" s="10" t="s">
        <v>16</v>
      </c>
      <c r="L12" s="13" t="s">
        <v>90</v>
      </c>
      <c r="M12" s="10" t="s">
        <v>16</v>
      </c>
      <c r="N12" s="14" t="s">
        <v>16</v>
      </c>
      <c r="O12" s="10" t="s">
        <v>16</v>
      </c>
    </row>
    <row r="13" ht="56" customHeight="1" spans="1:15" x14ac:dyDescent="0.25">
      <c r="A13" s="15" t="s">
        <v>141</v>
      </c>
      <c r="B13" s="16" t="s">
        <v>81</v>
      </c>
      <c r="C13" s="16" t="s">
        <v>142</v>
      </c>
      <c r="D13" s="16" t="s">
        <v>143</v>
      </c>
      <c r="E13" s="17" t="s">
        <v>93</v>
      </c>
      <c r="F13" s="18" t="s">
        <v>85</v>
      </c>
      <c r="G13" s="16" t="s">
        <v>144</v>
      </c>
      <c r="H13" s="16" t="s">
        <v>145</v>
      </c>
      <c r="I13" s="16" t="s">
        <v>146</v>
      </c>
      <c r="J13" s="16" t="s">
        <v>147</v>
      </c>
      <c r="K13" s="16" t="s">
        <v>16</v>
      </c>
      <c r="L13" s="19" t="s">
        <v>90</v>
      </c>
      <c r="M13" s="16" t="s">
        <v>16</v>
      </c>
      <c r="N13" s="20" t="s">
        <v>16</v>
      </c>
      <c r="O13" s="16" t="s">
        <v>16</v>
      </c>
    </row>
    <row r="14" ht="46" customHeight="1" spans="1:15" x14ac:dyDescent="0.25">
      <c r="A14" s="9" t="s">
        <v>148</v>
      </c>
      <c r="B14" s="10" t="s">
        <v>81</v>
      </c>
      <c r="C14" s="10" t="s">
        <v>142</v>
      </c>
      <c r="D14" s="10" t="s">
        <v>149</v>
      </c>
      <c r="E14" s="11" t="s">
        <v>150</v>
      </c>
      <c r="F14" s="13" t="s">
        <v>124</v>
      </c>
      <c r="G14" s="10" t="s">
        <v>151</v>
      </c>
      <c r="H14" s="10" t="s">
        <v>152</v>
      </c>
      <c r="I14" s="10" t="s">
        <v>153</v>
      </c>
      <c r="J14" s="10" t="s">
        <v>154</v>
      </c>
      <c r="K14" s="10" t="s">
        <v>16</v>
      </c>
      <c r="L14" s="13" t="s">
        <v>90</v>
      </c>
      <c r="M14" s="10" t="s">
        <v>16</v>
      </c>
      <c r="N14" s="14" t="s">
        <v>16</v>
      </c>
      <c r="O14" s="10" t="s">
        <v>16</v>
      </c>
    </row>
    <row r="15" ht="46" customHeight="1" spans="1:15" x14ac:dyDescent="0.25">
      <c r="A15" s="15" t="s">
        <v>155</v>
      </c>
      <c r="B15" s="16" t="s">
        <v>81</v>
      </c>
      <c r="C15" s="16" t="s">
        <v>156</v>
      </c>
      <c r="D15" s="16" t="s">
        <v>157</v>
      </c>
      <c r="E15" s="17" t="s">
        <v>84</v>
      </c>
      <c r="F15" s="18" t="s">
        <v>85</v>
      </c>
      <c r="G15" s="16" t="s">
        <v>158</v>
      </c>
      <c r="H15" s="16" t="s">
        <v>159</v>
      </c>
      <c r="I15" s="16" t="s">
        <v>160</v>
      </c>
      <c r="J15" s="16" t="s">
        <v>161</v>
      </c>
      <c r="K15" s="16" t="s">
        <v>16</v>
      </c>
      <c r="L15" s="19" t="s">
        <v>90</v>
      </c>
      <c r="M15" s="16" t="s">
        <v>16</v>
      </c>
      <c r="N15" s="20" t="s">
        <v>16</v>
      </c>
      <c r="O15" s="16" t="s">
        <v>16</v>
      </c>
    </row>
    <row r="16" ht="46" customHeight="1" spans="1:15" x14ac:dyDescent="0.25">
      <c r="A16" s="9" t="s">
        <v>162</v>
      </c>
      <c r="B16" s="10" t="s">
        <v>81</v>
      </c>
      <c r="C16" s="10" t="s">
        <v>156</v>
      </c>
      <c r="D16" s="10" t="s">
        <v>163</v>
      </c>
      <c r="E16" s="11" t="s">
        <v>93</v>
      </c>
      <c r="F16" s="13" t="s">
        <v>124</v>
      </c>
      <c r="G16" s="10" t="s">
        <v>164</v>
      </c>
      <c r="H16" s="10" t="s">
        <v>165</v>
      </c>
      <c r="I16" s="10" t="s">
        <v>139</v>
      </c>
      <c r="J16" s="10" t="s">
        <v>166</v>
      </c>
      <c r="K16" s="10" t="s">
        <v>16</v>
      </c>
      <c r="L16" s="13" t="s">
        <v>90</v>
      </c>
      <c r="M16" s="10" t="s">
        <v>16</v>
      </c>
      <c r="N16" s="14" t="s">
        <v>16</v>
      </c>
      <c r="O16" s="10" t="s">
        <v>16</v>
      </c>
    </row>
    <row r="17" ht="46" customHeight="1" spans="1:15" x14ac:dyDescent="0.25">
      <c r="A17" s="15" t="s">
        <v>167</v>
      </c>
      <c r="B17" s="16" t="s">
        <v>81</v>
      </c>
      <c r="C17" s="16" t="s">
        <v>156</v>
      </c>
      <c r="D17" s="16" t="s">
        <v>168</v>
      </c>
      <c r="E17" s="17" t="s">
        <v>84</v>
      </c>
      <c r="F17" s="18" t="s">
        <v>85</v>
      </c>
      <c r="G17" s="16" t="s">
        <v>169</v>
      </c>
      <c r="H17" s="16" t="s">
        <v>170</v>
      </c>
      <c r="I17" s="16" t="s">
        <v>171</v>
      </c>
      <c r="J17" s="16" t="s">
        <v>172</v>
      </c>
      <c r="K17" s="16" t="s">
        <v>16</v>
      </c>
      <c r="L17" s="19" t="s">
        <v>90</v>
      </c>
      <c r="M17" s="16" t="s">
        <v>16</v>
      </c>
      <c r="N17" s="20" t="s">
        <v>16</v>
      </c>
      <c r="O17" s="16" t="s">
        <v>16</v>
      </c>
    </row>
    <row r="18" ht="46" customHeight="1" spans="1:15" x14ac:dyDescent="0.25">
      <c r="A18" s="9" t="s">
        <v>173</v>
      </c>
      <c r="B18" s="10" t="s">
        <v>81</v>
      </c>
      <c r="C18" s="10" t="s">
        <v>156</v>
      </c>
      <c r="D18" s="10" t="s">
        <v>174</v>
      </c>
      <c r="E18" s="11" t="s">
        <v>84</v>
      </c>
      <c r="F18" s="12" t="s">
        <v>85</v>
      </c>
      <c r="G18" s="10" t="s">
        <v>175</v>
      </c>
      <c r="H18" s="10" t="s">
        <v>176</v>
      </c>
      <c r="I18" s="10" t="s">
        <v>139</v>
      </c>
      <c r="J18" s="10" t="s">
        <v>177</v>
      </c>
      <c r="K18" s="10" t="s">
        <v>16</v>
      </c>
      <c r="L18" s="13" t="s">
        <v>90</v>
      </c>
      <c r="M18" s="10" t="s">
        <v>16</v>
      </c>
      <c r="N18" s="14" t="s">
        <v>16</v>
      </c>
      <c r="O18" s="10" t="s">
        <v>16</v>
      </c>
    </row>
    <row r="19" ht="46" customHeight="1" spans="1:15" x14ac:dyDescent="0.25">
      <c r="A19" s="15" t="s">
        <v>178</v>
      </c>
      <c r="B19" s="16" t="s">
        <v>81</v>
      </c>
      <c r="C19" s="16" t="s">
        <v>179</v>
      </c>
      <c r="D19" s="16" t="s">
        <v>180</v>
      </c>
      <c r="E19" s="17" t="s">
        <v>84</v>
      </c>
      <c r="F19" s="18" t="s">
        <v>85</v>
      </c>
      <c r="G19" s="16" t="s">
        <v>181</v>
      </c>
      <c r="H19" s="16" t="s">
        <v>182</v>
      </c>
      <c r="I19" s="16" t="s">
        <v>139</v>
      </c>
      <c r="J19" s="16" t="s">
        <v>183</v>
      </c>
      <c r="K19" s="16" t="s">
        <v>16</v>
      </c>
      <c r="L19" s="19" t="s">
        <v>90</v>
      </c>
      <c r="M19" s="16" t="s">
        <v>16</v>
      </c>
      <c r="N19" s="20" t="s">
        <v>16</v>
      </c>
      <c r="O19" s="16" t="s">
        <v>16</v>
      </c>
    </row>
    <row r="20" ht="46" customHeight="1" spans="1:15" x14ac:dyDescent="0.25">
      <c r="A20" s="9" t="s">
        <v>184</v>
      </c>
      <c r="B20" s="10" t="s">
        <v>81</v>
      </c>
      <c r="C20" s="10" t="s">
        <v>179</v>
      </c>
      <c r="D20" s="10" t="s">
        <v>185</v>
      </c>
      <c r="E20" s="11" t="s">
        <v>84</v>
      </c>
      <c r="F20" s="12" t="s">
        <v>85</v>
      </c>
      <c r="G20" s="10" t="s">
        <v>186</v>
      </c>
      <c r="H20" s="10" t="s">
        <v>187</v>
      </c>
      <c r="I20" s="10" t="s">
        <v>188</v>
      </c>
      <c r="J20" s="10" t="s">
        <v>189</v>
      </c>
      <c r="K20" s="10" t="s">
        <v>16</v>
      </c>
      <c r="L20" s="13" t="s">
        <v>90</v>
      </c>
      <c r="M20" s="10" t="s">
        <v>16</v>
      </c>
      <c r="N20" s="14" t="s">
        <v>16</v>
      </c>
      <c r="O20" s="10" t="s">
        <v>16</v>
      </c>
    </row>
    <row r="21" ht="56" customHeight="1" spans="1:15" x14ac:dyDescent="0.25">
      <c r="A21" s="15" t="s">
        <v>190</v>
      </c>
      <c r="B21" s="16" t="s">
        <v>81</v>
      </c>
      <c r="C21" s="16" t="s">
        <v>179</v>
      </c>
      <c r="D21" s="16" t="s">
        <v>191</v>
      </c>
      <c r="E21" s="17" t="s">
        <v>84</v>
      </c>
      <c r="F21" s="18" t="s">
        <v>85</v>
      </c>
      <c r="G21" s="16" t="s">
        <v>192</v>
      </c>
      <c r="H21" s="16" t="s">
        <v>193</v>
      </c>
      <c r="I21" s="16" t="s">
        <v>194</v>
      </c>
      <c r="J21" s="16" t="s">
        <v>195</v>
      </c>
      <c r="K21" s="16" t="s">
        <v>16</v>
      </c>
      <c r="L21" s="19" t="s">
        <v>90</v>
      </c>
      <c r="M21" s="16" t="s">
        <v>16</v>
      </c>
      <c r="N21" s="20" t="s">
        <v>16</v>
      </c>
      <c r="O21" s="16" t="s">
        <v>16</v>
      </c>
    </row>
    <row r="22" ht="46" customHeight="1" spans="1:15" x14ac:dyDescent="0.25">
      <c r="A22" s="9" t="s">
        <v>196</v>
      </c>
      <c r="B22" s="10" t="s">
        <v>81</v>
      </c>
      <c r="C22" s="10" t="s">
        <v>179</v>
      </c>
      <c r="D22" s="10" t="s">
        <v>197</v>
      </c>
      <c r="E22" s="11" t="s">
        <v>84</v>
      </c>
      <c r="F22" s="12" t="s">
        <v>85</v>
      </c>
      <c r="G22" s="10" t="s">
        <v>198</v>
      </c>
      <c r="H22" s="10" t="s">
        <v>199</v>
      </c>
      <c r="I22" s="10" t="s">
        <v>200</v>
      </c>
      <c r="J22" s="10" t="s">
        <v>201</v>
      </c>
      <c r="K22" s="10" t="s">
        <v>16</v>
      </c>
      <c r="L22" s="13" t="s">
        <v>90</v>
      </c>
      <c r="M22" s="10" t="s">
        <v>16</v>
      </c>
      <c r="N22" s="14" t="s">
        <v>16</v>
      </c>
      <c r="O22" s="10" t="s">
        <v>16</v>
      </c>
    </row>
    <row r="23" ht="46" customHeight="1" spans="1:15" x14ac:dyDescent="0.25">
      <c r="A23" s="15" t="s">
        <v>202</v>
      </c>
      <c r="B23" s="16" t="s">
        <v>81</v>
      </c>
      <c r="C23" s="16" t="s">
        <v>179</v>
      </c>
      <c r="D23" s="16" t="s">
        <v>203</v>
      </c>
      <c r="E23" s="17" t="s">
        <v>84</v>
      </c>
      <c r="F23" s="18" t="s">
        <v>85</v>
      </c>
      <c r="G23" s="16" t="s">
        <v>204</v>
      </c>
      <c r="H23" s="16" t="s">
        <v>205</v>
      </c>
      <c r="I23" s="16" t="s">
        <v>139</v>
      </c>
      <c r="J23" s="16" t="s">
        <v>206</v>
      </c>
      <c r="K23" s="16" t="s">
        <v>16</v>
      </c>
      <c r="L23" s="19" t="s">
        <v>90</v>
      </c>
      <c r="M23" s="16" t="s">
        <v>16</v>
      </c>
      <c r="N23" s="20" t="s">
        <v>16</v>
      </c>
      <c r="O23" s="16" t="s">
        <v>16</v>
      </c>
    </row>
    <row r="24" ht="46" customHeight="1" spans="1:15" x14ac:dyDescent="0.25">
      <c r="A24" s="9" t="s">
        <v>207</v>
      </c>
      <c r="B24" s="10" t="s">
        <v>81</v>
      </c>
      <c r="C24" s="10" t="s">
        <v>179</v>
      </c>
      <c r="D24" s="10" t="s">
        <v>208</v>
      </c>
      <c r="E24" s="11" t="s">
        <v>93</v>
      </c>
      <c r="F24" s="13" t="s">
        <v>124</v>
      </c>
      <c r="G24" s="10" t="s">
        <v>209</v>
      </c>
      <c r="H24" s="10" t="s">
        <v>210</v>
      </c>
      <c r="I24" s="10" t="s">
        <v>139</v>
      </c>
      <c r="J24" s="10" t="s">
        <v>211</v>
      </c>
      <c r="K24" s="10" t="s">
        <v>16</v>
      </c>
      <c r="L24" s="13" t="s">
        <v>90</v>
      </c>
      <c r="M24" s="10" t="s">
        <v>16</v>
      </c>
      <c r="N24" s="14" t="s">
        <v>16</v>
      </c>
      <c r="O24" s="10" t="s">
        <v>16</v>
      </c>
    </row>
    <row r="25" ht="56" customHeight="1" spans="1:15" x14ac:dyDescent="0.25">
      <c r="A25" s="15" t="s">
        <v>212</v>
      </c>
      <c r="B25" s="16" t="s">
        <v>81</v>
      </c>
      <c r="C25" s="16" t="s">
        <v>213</v>
      </c>
      <c r="D25" s="16" t="s">
        <v>214</v>
      </c>
      <c r="E25" s="17" t="s">
        <v>84</v>
      </c>
      <c r="F25" s="19" t="s">
        <v>124</v>
      </c>
      <c r="G25" s="16" t="s">
        <v>215</v>
      </c>
      <c r="H25" s="16" t="s">
        <v>216</v>
      </c>
      <c r="I25" s="16" t="s">
        <v>217</v>
      </c>
      <c r="J25" s="16" t="s">
        <v>218</v>
      </c>
      <c r="K25" s="16" t="s">
        <v>16</v>
      </c>
      <c r="L25" s="19" t="s">
        <v>90</v>
      </c>
      <c r="M25" s="16" t="s">
        <v>16</v>
      </c>
      <c r="N25" s="20" t="s">
        <v>16</v>
      </c>
      <c r="O25" s="16" t="s">
        <v>16</v>
      </c>
    </row>
    <row r="26" ht="46" customHeight="1" spans="1:15" x14ac:dyDescent="0.25">
      <c r="A26" s="9" t="s">
        <v>219</v>
      </c>
      <c r="B26" s="10" t="s">
        <v>81</v>
      </c>
      <c r="C26" s="10" t="s">
        <v>213</v>
      </c>
      <c r="D26" s="10" t="s">
        <v>220</v>
      </c>
      <c r="E26" s="11" t="s">
        <v>84</v>
      </c>
      <c r="F26" s="13" t="s">
        <v>124</v>
      </c>
      <c r="G26" s="10" t="s">
        <v>221</v>
      </c>
      <c r="H26" s="10" t="s">
        <v>222</v>
      </c>
      <c r="I26" s="10" t="s">
        <v>223</v>
      </c>
      <c r="J26" s="10" t="s">
        <v>224</v>
      </c>
      <c r="K26" s="10" t="s">
        <v>16</v>
      </c>
      <c r="L26" s="13" t="s">
        <v>90</v>
      </c>
      <c r="M26" s="10" t="s">
        <v>16</v>
      </c>
      <c r="N26" s="14" t="s">
        <v>16</v>
      </c>
      <c r="O26" s="10" t="s">
        <v>16</v>
      </c>
    </row>
  </sheetData>
  <autoFilter ref="A3:O26"/>
  <mergeCells count="2">
    <mergeCell ref="A1:O1"/>
    <mergeCell ref="A2:O2"/>
  </mergeCells>
  <conditionalFormatting sqref="L4:L26">
    <cfRule type="containsText" dxfId="0" priority="1">
      <formula>NOT(ISERROR(SEARCH("Pass",L4)))</formula>
    </cfRule>
    <cfRule type="containsText" dxfId="1" priority="2">
      <formula>NOT(ISERROR(SEARCH("Fail",L4)))</formula>
    </cfRule>
    <cfRule type="containsText" dxfId="2" priority="3">
      <formula>NOT(ISERROR(SEARCH("Blocked",L4)))</formula>
    </cfRule>
  </conditionalFormatting>
  <dataValidations count="2">
    <dataValidation type="list" showErrorMessage="1" errorTitle="Invalid status" error="Choose: Not Executed, Pass, Fail, Blocked or N/A" sqref="L10:L26">
      <formula1>"Not Executed,Pass,Fail,Blocked,N/A"</formula1>
    </dataValidation>
    <dataValidation type="list" showErrorMessage="1" errorTitle="Invalid status" error="Choose: Not Executed, Pass, Fail, Blocked or N/A" sqref="L4:L26">
      <formula1>"Not Executed,Pass,Fail,Blocked,N/A"</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workbookViewId="0" zoomScale="90">
      <pane xSplit="1" ySplit="3" topLeftCell="B4" activePane="bottomRight" state="frozen"/>
      <selection pane="bottomRight"/>
    </sheetView>
  </sheetViews>
  <sheetFormatPr defaultRowHeight="15" outlineLevelRow="0" outlineLevelCol="0" x14ac:dyDescent="55"/>
  <cols>
    <col min="1" max="1" width="12" customWidth="1"/>
    <col min="2" max="2" width="20" customWidth="1"/>
    <col min="3" max="3" width="22" customWidth="1"/>
    <col min="4" max="4" width="46" customWidth="1"/>
    <col min="5" max="5" width="14" customWidth="1"/>
    <col min="6" max="6" width="10" customWidth="1"/>
    <col min="7" max="7" width="38" customWidth="1"/>
    <col min="8" max="8" width="50" customWidth="1"/>
    <col min="9" max="9" width="26" customWidth="1"/>
    <col min="10" max="10" width="66" customWidth="1"/>
    <col min="11" max="11" width="30" customWidth="1"/>
    <col min="12" max="14" width="14" customWidth="1"/>
    <col min="15" max="15" width="26" customWidth="1"/>
  </cols>
  <sheetData>
    <row r="1" ht="28" customHeight="1" spans="1:15" x14ac:dyDescent="0.25">
      <c r="A1" s="6" t="s">
        <v>225</v>
      </c>
      <c r="B1" s="6"/>
      <c r="C1" s="6"/>
      <c r="D1" s="6"/>
      <c r="E1" s="6"/>
      <c r="F1" s="6"/>
      <c r="G1" s="6"/>
      <c r="H1" s="6"/>
      <c r="I1" s="6"/>
      <c r="J1" s="6"/>
      <c r="K1" s="6"/>
      <c r="L1" s="6"/>
      <c r="M1" s="6"/>
      <c r="N1" s="6"/>
      <c r="O1" s="6"/>
    </row>
    <row r="2" ht="20" customHeight="1" spans="1:15" x14ac:dyDescent="0.25">
      <c r="A2" s="7" t="s">
        <v>64</v>
      </c>
      <c r="B2" s="7"/>
      <c r="C2" s="7"/>
      <c r="D2" s="7"/>
      <c r="E2" s="7"/>
      <c r="F2" s="7"/>
      <c r="G2" s="7"/>
      <c r="H2" s="7"/>
      <c r="I2" s="7"/>
      <c r="J2" s="7"/>
      <c r="K2" s="7"/>
      <c r="L2" s="7"/>
      <c r="M2" s="7"/>
      <c r="N2" s="7"/>
      <c r="O2" s="7"/>
    </row>
    <row r="3" ht="30" customHeight="1" spans="1:15" x14ac:dyDescent="0.25">
      <c r="A3" s="8" t="s">
        <v>65</v>
      </c>
      <c r="B3" s="8" t="s">
        <v>66</v>
      </c>
      <c r="C3" s="8" t="s">
        <v>67</v>
      </c>
      <c r="D3" s="8" t="s">
        <v>68</v>
      </c>
      <c r="E3" s="8" t="s">
        <v>69</v>
      </c>
      <c r="F3" s="8" t="s">
        <v>70</v>
      </c>
      <c r="G3" s="8" t="s">
        <v>71</v>
      </c>
      <c r="H3" s="8" t="s">
        <v>72</v>
      </c>
      <c r="I3" s="8" t="s">
        <v>73</v>
      </c>
      <c r="J3" s="8" t="s">
        <v>74</v>
      </c>
      <c r="K3" s="8" t="s">
        <v>75</v>
      </c>
      <c r="L3" s="8" t="s">
        <v>76</v>
      </c>
      <c r="M3" s="8" t="s">
        <v>77</v>
      </c>
      <c r="N3" s="8" t="s">
        <v>78</v>
      </c>
      <c r="O3" s="8" t="s">
        <v>79</v>
      </c>
    </row>
    <row r="4" ht="46" customHeight="1" spans="1:15" x14ac:dyDescent="0.25">
      <c r="A4" s="9" t="s">
        <v>226</v>
      </c>
      <c r="B4" s="10" t="s">
        <v>227</v>
      </c>
      <c r="C4" s="10" t="s">
        <v>228</v>
      </c>
      <c r="D4" s="10" t="s">
        <v>229</v>
      </c>
      <c r="E4" s="11" t="s">
        <v>230</v>
      </c>
      <c r="F4" s="12" t="s">
        <v>85</v>
      </c>
      <c r="G4" s="10" t="s">
        <v>231</v>
      </c>
      <c r="H4" s="10" t="s">
        <v>232</v>
      </c>
      <c r="I4" s="10" t="s">
        <v>233</v>
      </c>
      <c r="J4" s="10" t="s">
        <v>234</v>
      </c>
      <c r="K4" s="10" t="s">
        <v>16</v>
      </c>
      <c r="L4" s="13" t="s">
        <v>90</v>
      </c>
      <c r="M4" s="10" t="s">
        <v>16</v>
      </c>
      <c r="N4" s="14" t="s">
        <v>16</v>
      </c>
      <c r="O4" s="10" t="s">
        <v>16</v>
      </c>
    </row>
    <row r="5" ht="46" customHeight="1" spans="1:15" x14ac:dyDescent="0.25">
      <c r="A5" s="15" t="s">
        <v>235</v>
      </c>
      <c r="B5" s="16" t="s">
        <v>227</v>
      </c>
      <c r="C5" s="16" t="s">
        <v>228</v>
      </c>
      <c r="D5" s="16" t="s">
        <v>236</v>
      </c>
      <c r="E5" s="17" t="s">
        <v>230</v>
      </c>
      <c r="F5" s="18" t="s">
        <v>85</v>
      </c>
      <c r="G5" s="16" t="s">
        <v>237</v>
      </c>
      <c r="H5" s="16" t="s">
        <v>238</v>
      </c>
      <c r="I5" s="16" t="s">
        <v>239</v>
      </c>
      <c r="J5" s="16" t="s">
        <v>240</v>
      </c>
      <c r="K5" s="16" t="s">
        <v>16</v>
      </c>
      <c r="L5" s="19" t="s">
        <v>90</v>
      </c>
      <c r="M5" s="16" t="s">
        <v>16</v>
      </c>
      <c r="N5" s="20" t="s">
        <v>16</v>
      </c>
      <c r="O5" s="16" t="s">
        <v>16</v>
      </c>
    </row>
    <row r="6" ht="46" customHeight="1" spans="1:15" x14ac:dyDescent="0.25">
      <c r="A6" s="9" t="s">
        <v>241</v>
      </c>
      <c r="B6" s="10" t="s">
        <v>227</v>
      </c>
      <c r="C6" s="10" t="s">
        <v>228</v>
      </c>
      <c r="D6" s="10" t="s">
        <v>242</v>
      </c>
      <c r="E6" s="11" t="s">
        <v>84</v>
      </c>
      <c r="F6" s="12" t="s">
        <v>85</v>
      </c>
      <c r="G6" s="10" t="s">
        <v>243</v>
      </c>
      <c r="H6" s="10" t="s">
        <v>244</v>
      </c>
      <c r="I6" s="10" t="s">
        <v>245</v>
      </c>
      <c r="J6" s="10" t="s">
        <v>246</v>
      </c>
      <c r="K6" s="10" t="s">
        <v>16</v>
      </c>
      <c r="L6" s="13" t="s">
        <v>90</v>
      </c>
      <c r="M6" s="10" t="s">
        <v>16</v>
      </c>
      <c r="N6" s="14" t="s">
        <v>16</v>
      </c>
      <c r="O6" s="10" t="s">
        <v>16</v>
      </c>
    </row>
    <row r="7" ht="46" customHeight="1" spans="1:15" x14ac:dyDescent="0.25">
      <c r="A7" s="15" t="s">
        <v>247</v>
      </c>
      <c r="B7" s="16" t="s">
        <v>227</v>
      </c>
      <c r="C7" s="16" t="s">
        <v>228</v>
      </c>
      <c r="D7" s="16" t="s">
        <v>248</v>
      </c>
      <c r="E7" s="17" t="s">
        <v>93</v>
      </c>
      <c r="F7" s="18" t="s">
        <v>85</v>
      </c>
      <c r="G7" s="16" t="s">
        <v>249</v>
      </c>
      <c r="H7" s="16" t="s">
        <v>250</v>
      </c>
      <c r="I7" s="16" t="s">
        <v>251</v>
      </c>
      <c r="J7" s="16" t="s">
        <v>252</v>
      </c>
      <c r="K7" s="16" t="s">
        <v>16</v>
      </c>
      <c r="L7" s="19" t="s">
        <v>90</v>
      </c>
      <c r="M7" s="16" t="s">
        <v>16</v>
      </c>
      <c r="N7" s="20" t="s">
        <v>16</v>
      </c>
      <c r="O7" s="16" t="s">
        <v>16</v>
      </c>
    </row>
    <row r="8" ht="46" customHeight="1" spans="1:15" x14ac:dyDescent="0.25">
      <c r="A8" s="9" t="s">
        <v>253</v>
      </c>
      <c r="B8" s="10" t="s">
        <v>227</v>
      </c>
      <c r="C8" s="10" t="s">
        <v>228</v>
      </c>
      <c r="D8" s="10" t="s">
        <v>254</v>
      </c>
      <c r="E8" s="11" t="s">
        <v>93</v>
      </c>
      <c r="F8" s="12" t="s">
        <v>85</v>
      </c>
      <c r="G8" s="10" t="s">
        <v>255</v>
      </c>
      <c r="H8" s="10" t="s">
        <v>256</v>
      </c>
      <c r="I8" s="10" t="s">
        <v>257</v>
      </c>
      <c r="J8" s="10" t="s">
        <v>258</v>
      </c>
      <c r="K8" s="10" t="s">
        <v>16</v>
      </c>
      <c r="L8" s="13" t="s">
        <v>90</v>
      </c>
      <c r="M8" s="10" t="s">
        <v>16</v>
      </c>
      <c r="N8" s="14" t="s">
        <v>16</v>
      </c>
      <c r="O8" s="10" t="s">
        <v>16</v>
      </c>
    </row>
    <row r="9" ht="46" customHeight="1" spans="1:15" x14ac:dyDescent="0.25">
      <c r="A9" s="15" t="s">
        <v>259</v>
      </c>
      <c r="B9" s="16" t="s">
        <v>227</v>
      </c>
      <c r="C9" s="16" t="s">
        <v>228</v>
      </c>
      <c r="D9" s="16" t="s">
        <v>260</v>
      </c>
      <c r="E9" s="17" t="s">
        <v>150</v>
      </c>
      <c r="F9" s="18" t="s">
        <v>85</v>
      </c>
      <c r="G9" s="16" t="s">
        <v>261</v>
      </c>
      <c r="H9" s="16" t="s">
        <v>262</v>
      </c>
      <c r="I9" s="16" t="s">
        <v>263</v>
      </c>
      <c r="J9" s="16" t="s">
        <v>264</v>
      </c>
      <c r="K9" s="16" t="s">
        <v>16</v>
      </c>
      <c r="L9" s="19" t="s">
        <v>90</v>
      </c>
      <c r="M9" s="16" t="s">
        <v>16</v>
      </c>
      <c r="N9" s="20" t="s">
        <v>16</v>
      </c>
      <c r="O9" s="16" t="s">
        <v>16</v>
      </c>
    </row>
    <row r="10" ht="46" customHeight="1" spans="1:15" x14ac:dyDescent="0.25">
      <c r="A10" s="9" t="s">
        <v>265</v>
      </c>
      <c r="B10" s="10" t="s">
        <v>227</v>
      </c>
      <c r="C10" s="10" t="s">
        <v>179</v>
      </c>
      <c r="D10" s="10" t="s">
        <v>266</v>
      </c>
      <c r="E10" s="11" t="s">
        <v>93</v>
      </c>
      <c r="F10" s="12" t="s">
        <v>85</v>
      </c>
      <c r="G10" s="10" t="s">
        <v>267</v>
      </c>
      <c r="H10" s="10" t="s">
        <v>268</v>
      </c>
      <c r="I10" s="10" t="s">
        <v>269</v>
      </c>
      <c r="J10" s="10" t="s">
        <v>270</v>
      </c>
      <c r="K10" s="10" t="s">
        <v>16</v>
      </c>
      <c r="L10" s="13" t="s">
        <v>90</v>
      </c>
      <c r="M10" s="10" t="s">
        <v>16</v>
      </c>
      <c r="N10" s="14" t="s">
        <v>16</v>
      </c>
      <c r="O10" s="10" t="s">
        <v>16</v>
      </c>
    </row>
    <row r="11" ht="46" customHeight="1" spans="1:15" x14ac:dyDescent="0.25">
      <c r="A11" s="15" t="s">
        <v>271</v>
      </c>
      <c r="B11" s="16" t="s">
        <v>227</v>
      </c>
      <c r="C11" s="16" t="s">
        <v>179</v>
      </c>
      <c r="D11" s="16" t="s">
        <v>272</v>
      </c>
      <c r="E11" s="17" t="s">
        <v>84</v>
      </c>
      <c r="F11" s="18" t="s">
        <v>85</v>
      </c>
      <c r="G11" s="16" t="s">
        <v>267</v>
      </c>
      <c r="H11" s="16" t="s">
        <v>273</v>
      </c>
      <c r="I11" s="16" t="s">
        <v>139</v>
      </c>
      <c r="J11" s="16" t="s">
        <v>274</v>
      </c>
      <c r="K11" s="16" t="s">
        <v>16</v>
      </c>
      <c r="L11" s="19" t="s">
        <v>90</v>
      </c>
      <c r="M11" s="16" t="s">
        <v>16</v>
      </c>
      <c r="N11" s="20" t="s">
        <v>16</v>
      </c>
      <c r="O11" s="16" t="s">
        <v>16</v>
      </c>
    </row>
    <row r="12" ht="56" customHeight="1" spans="1:15" x14ac:dyDescent="0.25">
      <c r="A12" s="9" t="s">
        <v>275</v>
      </c>
      <c r="B12" s="10" t="s">
        <v>227</v>
      </c>
      <c r="C12" s="10" t="s">
        <v>179</v>
      </c>
      <c r="D12" s="10" t="s">
        <v>276</v>
      </c>
      <c r="E12" s="11" t="s">
        <v>84</v>
      </c>
      <c r="F12" s="12" t="s">
        <v>85</v>
      </c>
      <c r="G12" s="10" t="s">
        <v>277</v>
      </c>
      <c r="H12" s="10" t="s">
        <v>278</v>
      </c>
      <c r="I12" s="10" t="s">
        <v>188</v>
      </c>
      <c r="J12" s="10" t="s">
        <v>279</v>
      </c>
      <c r="K12" s="10" t="s">
        <v>16</v>
      </c>
      <c r="L12" s="13" t="s">
        <v>90</v>
      </c>
      <c r="M12" s="10" t="s">
        <v>16</v>
      </c>
      <c r="N12" s="14" t="s">
        <v>16</v>
      </c>
      <c r="O12" s="10" t="s">
        <v>16</v>
      </c>
    </row>
    <row r="13" ht="46" customHeight="1" spans="1:15" x14ac:dyDescent="0.25">
      <c r="A13" s="15" t="s">
        <v>280</v>
      </c>
      <c r="B13" s="16" t="s">
        <v>227</v>
      </c>
      <c r="C13" s="16" t="s">
        <v>179</v>
      </c>
      <c r="D13" s="16" t="s">
        <v>281</v>
      </c>
      <c r="E13" s="17" t="s">
        <v>93</v>
      </c>
      <c r="F13" s="19" t="s">
        <v>124</v>
      </c>
      <c r="G13" s="16" t="s">
        <v>282</v>
      </c>
      <c r="H13" s="16" t="s">
        <v>283</v>
      </c>
      <c r="I13" s="16" t="s">
        <v>139</v>
      </c>
      <c r="J13" s="16" t="s">
        <v>284</v>
      </c>
      <c r="K13" s="16" t="s">
        <v>16</v>
      </c>
      <c r="L13" s="19" t="s">
        <v>90</v>
      </c>
      <c r="M13" s="16" t="s">
        <v>16</v>
      </c>
      <c r="N13" s="20" t="s">
        <v>16</v>
      </c>
      <c r="O13" s="16" t="s">
        <v>16</v>
      </c>
    </row>
    <row r="14" ht="46" customHeight="1" spans="1:15" x14ac:dyDescent="0.25">
      <c r="A14" s="9" t="s">
        <v>285</v>
      </c>
      <c r="B14" s="10" t="s">
        <v>227</v>
      </c>
      <c r="C14" s="10" t="s">
        <v>55</v>
      </c>
      <c r="D14" s="10" t="s">
        <v>286</v>
      </c>
      <c r="E14" s="11" t="s">
        <v>84</v>
      </c>
      <c r="F14" s="12" t="s">
        <v>85</v>
      </c>
      <c r="G14" s="10" t="s">
        <v>287</v>
      </c>
      <c r="H14" s="10" t="s">
        <v>288</v>
      </c>
      <c r="I14" s="10" t="s">
        <v>289</v>
      </c>
      <c r="J14" s="10" t="s">
        <v>290</v>
      </c>
      <c r="K14" s="10" t="s">
        <v>16</v>
      </c>
      <c r="L14" s="13" t="s">
        <v>90</v>
      </c>
      <c r="M14" s="10" t="s">
        <v>16</v>
      </c>
      <c r="N14" s="14" t="s">
        <v>16</v>
      </c>
      <c r="O14" s="10" t="s">
        <v>16</v>
      </c>
    </row>
    <row r="15" ht="56" customHeight="1" spans="1:15" x14ac:dyDescent="0.25">
      <c r="A15" s="15" t="s">
        <v>291</v>
      </c>
      <c r="B15" s="16" t="s">
        <v>227</v>
      </c>
      <c r="C15" s="16" t="s">
        <v>55</v>
      </c>
      <c r="D15" s="16" t="s">
        <v>292</v>
      </c>
      <c r="E15" s="17" t="s">
        <v>84</v>
      </c>
      <c r="F15" s="18" t="s">
        <v>85</v>
      </c>
      <c r="G15" s="16" t="s">
        <v>293</v>
      </c>
      <c r="H15" s="16" t="s">
        <v>294</v>
      </c>
      <c r="I15" s="16" t="s">
        <v>295</v>
      </c>
      <c r="J15" s="16" t="s">
        <v>296</v>
      </c>
      <c r="K15" s="16" t="s">
        <v>16</v>
      </c>
      <c r="L15" s="19" t="s">
        <v>90</v>
      </c>
      <c r="M15" s="16" t="s">
        <v>16</v>
      </c>
      <c r="N15" s="20" t="s">
        <v>16</v>
      </c>
      <c r="O15" s="16" t="s">
        <v>16</v>
      </c>
    </row>
    <row r="16" ht="70" customHeight="1" spans="1:15" x14ac:dyDescent="0.25">
      <c r="A16" s="9" t="s">
        <v>297</v>
      </c>
      <c r="B16" s="10" t="s">
        <v>227</v>
      </c>
      <c r="C16" s="10" t="s">
        <v>55</v>
      </c>
      <c r="D16" s="10" t="s">
        <v>298</v>
      </c>
      <c r="E16" s="11" t="s">
        <v>93</v>
      </c>
      <c r="F16" s="12" t="s">
        <v>85</v>
      </c>
      <c r="G16" s="10" t="s">
        <v>299</v>
      </c>
      <c r="H16" s="10" t="s">
        <v>300</v>
      </c>
      <c r="I16" s="10" t="s">
        <v>301</v>
      </c>
      <c r="J16" s="10" t="s">
        <v>302</v>
      </c>
      <c r="K16" s="10" t="s">
        <v>16</v>
      </c>
      <c r="L16" s="13" t="s">
        <v>90</v>
      </c>
      <c r="M16" s="10" t="s">
        <v>16</v>
      </c>
      <c r="N16" s="14" t="s">
        <v>16</v>
      </c>
      <c r="O16" s="10" t="s">
        <v>16</v>
      </c>
    </row>
    <row r="17" ht="46" customHeight="1" spans="1:15" x14ac:dyDescent="0.25">
      <c r="A17" s="15" t="s">
        <v>303</v>
      </c>
      <c r="B17" s="16" t="s">
        <v>227</v>
      </c>
      <c r="C17" s="16" t="s">
        <v>55</v>
      </c>
      <c r="D17" s="16" t="s">
        <v>304</v>
      </c>
      <c r="E17" s="17" t="s">
        <v>305</v>
      </c>
      <c r="F17" s="19" t="s">
        <v>124</v>
      </c>
      <c r="G17" s="16" t="s">
        <v>306</v>
      </c>
      <c r="H17" s="16" t="s">
        <v>307</v>
      </c>
      <c r="I17" s="16" t="s">
        <v>139</v>
      </c>
      <c r="J17" s="16" t="s">
        <v>308</v>
      </c>
      <c r="K17" s="16" t="s">
        <v>16</v>
      </c>
      <c r="L17" s="19" t="s">
        <v>90</v>
      </c>
      <c r="M17" s="16" t="s">
        <v>16</v>
      </c>
      <c r="N17" s="20" t="s">
        <v>16</v>
      </c>
      <c r="O17" s="16" t="s">
        <v>16</v>
      </c>
    </row>
    <row r="18" ht="46" customHeight="1" spans="1:15" x14ac:dyDescent="0.25">
      <c r="A18" s="9" t="s">
        <v>309</v>
      </c>
      <c r="B18" s="10" t="s">
        <v>227</v>
      </c>
      <c r="C18" s="10" t="s">
        <v>55</v>
      </c>
      <c r="D18" s="10" t="s">
        <v>310</v>
      </c>
      <c r="E18" s="11" t="s">
        <v>311</v>
      </c>
      <c r="F18" s="12" t="s">
        <v>85</v>
      </c>
      <c r="G18" s="10" t="s">
        <v>312</v>
      </c>
      <c r="H18" s="10" t="s">
        <v>313</v>
      </c>
      <c r="I18" s="10" t="s">
        <v>139</v>
      </c>
      <c r="J18" s="10" t="s">
        <v>314</v>
      </c>
      <c r="K18" s="10" t="s">
        <v>16</v>
      </c>
      <c r="L18" s="13" t="s">
        <v>90</v>
      </c>
      <c r="M18" s="10" t="s">
        <v>16</v>
      </c>
      <c r="N18" s="14" t="s">
        <v>16</v>
      </c>
      <c r="O18" s="10" t="s">
        <v>16</v>
      </c>
    </row>
    <row r="19" ht="56" customHeight="1" spans="1:15" x14ac:dyDescent="0.25">
      <c r="A19" s="15" t="s">
        <v>315</v>
      </c>
      <c r="B19" s="16" t="s">
        <v>227</v>
      </c>
      <c r="C19" s="16" t="s">
        <v>316</v>
      </c>
      <c r="D19" s="16" t="s">
        <v>317</v>
      </c>
      <c r="E19" s="17" t="s">
        <v>93</v>
      </c>
      <c r="F19" s="19" t="s">
        <v>124</v>
      </c>
      <c r="G19" s="16" t="s">
        <v>318</v>
      </c>
      <c r="H19" s="16" t="s">
        <v>319</v>
      </c>
      <c r="I19" s="16" t="s">
        <v>320</v>
      </c>
      <c r="J19" s="16" t="s">
        <v>321</v>
      </c>
      <c r="K19" s="16" t="s">
        <v>16</v>
      </c>
      <c r="L19" s="19" t="s">
        <v>90</v>
      </c>
      <c r="M19" s="16" t="s">
        <v>16</v>
      </c>
      <c r="N19" s="20" t="s">
        <v>16</v>
      </c>
      <c r="O19" s="16" t="s">
        <v>16</v>
      </c>
    </row>
    <row r="20" ht="46" customHeight="1" spans="1:15" x14ac:dyDescent="0.25">
      <c r="A20" s="9" t="s">
        <v>322</v>
      </c>
      <c r="B20" s="10" t="s">
        <v>227</v>
      </c>
      <c r="C20" s="10" t="s">
        <v>316</v>
      </c>
      <c r="D20" s="10" t="s">
        <v>323</v>
      </c>
      <c r="E20" s="11" t="s">
        <v>84</v>
      </c>
      <c r="F20" s="12" t="s">
        <v>85</v>
      </c>
      <c r="G20" s="10" t="s">
        <v>318</v>
      </c>
      <c r="H20" s="10" t="s">
        <v>324</v>
      </c>
      <c r="I20" s="10" t="s">
        <v>325</v>
      </c>
      <c r="J20" s="10" t="s">
        <v>326</v>
      </c>
      <c r="K20" s="10" t="s">
        <v>16</v>
      </c>
      <c r="L20" s="13" t="s">
        <v>90</v>
      </c>
      <c r="M20" s="10" t="s">
        <v>16</v>
      </c>
      <c r="N20" s="14" t="s">
        <v>16</v>
      </c>
      <c r="O20" s="10" t="s">
        <v>16</v>
      </c>
    </row>
    <row r="21" ht="46" customHeight="1" spans="1:15" x14ac:dyDescent="0.25">
      <c r="A21" s="15" t="s">
        <v>327</v>
      </c>
      <c r="B21" s="16" t="s">
        <v>227</v>
      </c>
      <c r="C21" s="16" t="s">
        <v>316</v>
      </c>
      <c r="D21" s="16" t="s">
        <v>328</v>
      </c>
      <c r="E21" s="17" t="s">
        <v>150</v>
      </c>
      <c r="F21" s="19" t="s">
        <v>329</v>
      </c>
      <c r="G21" s="16" t="s">
        <v>318</v>
      </c>
      <c r="H21" s="16" t="s">
        <v>330</v>
      </c>
      <c r="I21" s="16" t="s">
        <v>331</v>
      </c>
      <c r="J21" s="16" t="s">
        <v>332</v>
      </c>
      <c r="K21" s="16" t="s">
        <v>16</v>
      </c>
      <c r="L21" s="19" t="s">
        <v>90</v>
      </c>
      <c r="M21" s="16" t="s">
        <v>16</v>
      </c>
      <c r="N21" s="20" t="s">
        <v>16</v>
      </c>
      <c r="O21" s="16" t="s">
        <v>16</v>
      </c>
    </row>
    <row r="22" ht="46" customHeight="1" spans="1:15" x14ac:dyDescent="0.25">
      <c r="A22" s="9" t="s">
        <v>333</v>
      </c>
      <c r="B22" s="10" t="s">
        <v>227</v>
      </c>
      <c r="C22" s="10" t="s">
        <v>334</v>
      </c>
      <c r="D22" s="10" t="s">
        <v>335</v>
      </c>
      <c r="E22" s="11" t="s">
        <v>93</v>
      </c>
      <c r="F22" s="13" t="s">
        <v>124</v>
      </c>
      <c r="G22" s="10" t="s">
        <v>336</v>
      </c>
      <c r="H22" s="10" t="s">
        <v>337</v>
      </c>
      <c r="I22" s="10" t="s">
        <v>338</v>
      </c>
      <c r="J22" s="10" t="s">
        <v>339</v>
      </c>
      <c r="K22" s="10" t="s">
        <v>16</v>
      </c>
      <c r="L22" s="13" t="s">
        <v>90</v>
      </c>
      <c r="M22" s="10" t="s">
        <v>16</v>
      </c>
      <c r="N22" s="14" t="s">
        <v>16</v>
      </c>
      <c r="O22" s="10" t="s">
        <v>16</v>
      </c>
    </row>
    <row r="23" ht="46" customHeight="1" spans="1:15" x14ac:dyDescent="0.25">
      <c r="A23" s="15" t="s">
        <v>340</v>
      </c>
      <c r="B23" s="16" t="s">
        <v>227</v>
      </c>
      <c r="C23" s="16" t="s">
        <v>334</v>
      </c>
      <c r="D23" s="16" t="s">
        <v>341</v>
      </c>
      <c r="E23" s="17" t="s">
        <v>93</v>
      </c>
      <c r="F23" s="19" t="s">
        <v>124</v>
      </c>
      <c r="G23" s="16" t="s">
        <v>342</v>
      </c>
      <c r="H23" s="16" t="s">
        <v>343</v>
      </c>
      <c r="I23" s="16" t="s">
        <v>344</v>
      </c>
      <c r="J23" s="16" t="s">
        <v>345</v>
      </c>
      <c r="K23" s="16" t="s">
        <v>16</v>
      </c>
      <c r="L23" s="19" t="s">
        <v>90</v>
      </c>
      <c r="M23" s="16" t="s">
        <v>16</v>
      </c>
      <c r="N23" s="20" t="s">
        <v>16</v>
      </c>
      <c r="O23" s="16" t="s">
        <v>16</v>
      </c>
    </row>
    <row r="24" ht="46" customHeight="1" spans="1:15" x14ac:dyDescent="0.25">
      <c r="A24" s="9" t="s">
        <v>346</v>
      </c>
      <c r="B24" s="10" t="s">
        <v>227</v>
      </c>
      <c r="C24" s="10" t="s">
        <v>334</v>
      </c>
      <c r="D24" s="10" t="s">
        <v>347</v>
      </c>
      <c r="E24" s="11" t="s">
        <v>93</v>
      </c>
      <c r="F24" s="13" t="s">
        <v>124</v>
      </c>
      <c r="G24" s="10" t="s">
        <v>348</v>
      </c>
      <c r="H24" s="10" t="s">
        <v>349</v>
      </c>
      <c r="I24" s="10" t="s">
        <v>350</v>
      </c>
      <c r="J24" s="10" t="s">
        <v>351</v>
      </c>
      <c r="K24" s="10" t="s">
        <v>16</v>
      </c>
      <c r="L24" s="13" t="s">
        <v>90</v>
      </c>
      <c r="M24" s="10" t="s">
        <v>16</v>
      </c>
      <c r="N24" s="14" t="s">
        <v>16</v>
      </c>
      <c r="O24" s="10" t="s">
        <v>16</v>
      </c>
    </row>
    <row r="25" ht="46" customHeight="1" spans="1:15" x14ac:dyDescent="0.25">
      <c r="A25" s="15" t="s">
        <v>352</v>
      </c>
      <c r="B25" s="16" t="s">
        <v>227</v>
      </c>
      <c r="C25" s="16" t="s">
        <v>334</v>
      </c>
      <c r="D25" s="16" t="s">
        <v>353</v>
      </c>
      <c r="E25" s="17" t="s">
        <v>93</v>
      </c>
      <c r="F25" s="19" t="s">
        <v>329</v>
      </c>
      <c r="G25" s="16" t="s">
        <v>354</v>
      </c>
      <c r="H25" s="16" t="s">
        <v>355</v>
      </c>
      <c r="I25" s="16" t="s">
        <v>139</v>
      </c>
      <c r="J25" s="16" t="s">
        <v>356</v>
      </c>
      <c r="K25" s="16" t="s">
        <v>16</v>
      </c>
      <c r="L25" s="19" t="s">
        <v>90</v>
      </c>
      <c r="M25" s="16" t="s">
        <v>16</v>
      </c>
      <c r="N25" s="20" t="s">
        <v>16</v>
      </c>
      <c r="O25" s="16" t="s">
        <v>16</v>
      </c>
    </row>
    <row r="26" ht="46" customHeight="1" spans="1:15" x14ac:dyDescent="0.25">
      <c r="A26" s="9" t="s">
        <v>357</v>
      </c>
      <c r="B26" s="10" t="s">
        <v>227</v>
      </c>
      <c r="C26" s="10" t="s">
        <v>334</v>
      </c>
      <c r="D26" s="10" t="s">
        <v>358</v>
      </c>
      <c r="E26" s="11" t="s">
        <v>311</v>
      </c>
      <c r="F26" s="13" t="s">
        <v>329</v>
      </c>
      <c r="G26" s="10" t="s">
        <v>359</v>
      </c>
      <c r="H26" s="10" t="s">
        <v>360</v>
      </c>
      <c r="I26" s="10" t="s">
        <v>139</v>
      </c>
      <c r="J26" s="10" t="s">
        <v>361</v>
      </c>
      <c r="K26" s="10" t="s">
        <v>16</v>
      </c>
      <c r="L26" s="13" t="s">
        <v>90</v>
      </c>
      <c r="M26" s="10" t="s">
        <v>16</v>
      </c>
      <c r="N26" s="14" t="s">
        <v>16</v>
      </c>
      <c r="O26" s="10" t="s">
        <v>16</v>
      </c>
    </row>
  </sheetData>
  <autoFilter ref="A3:O26"/>
  <mergeCells count="2">
    <mergeCell ref="A1:O1"/>
    <mergeCell ref="A2:O2"/>
  </mergeCells>
  <conditionalFormatting sqref="L4:L26">
    <cfRule type="containsText" dxfId="3" priority="1">
      <formula>NOT(ISERROR(SEARCH("Pass",L4)))</formula>
    </cfRule>
    <cfRule type="containsText" dxfId="4" priority="2">
      <formula>NOT(ISERROR(SEARCH("Fail",L4)))</formula>
    </cfRule>
    <cfRule type="containsText" dxfId="5" priority="3">
      <formula>NOT(ISERROR(SEARCH("Blocked",L4)))</formula>
    </cfRule>
  </conditionalFormatting>
  <dataValidations count="2">
    <dataValidation type="list" showErrorMessage="1" errorTitle="Invalid status" error="Choose: Not Executed, Pass, Fail, Blocked or N/A" sqref="L10:L26">
      <formula1>"Not Executed,Pass,Fail,Blocked,N/A"</formula1>
    </dataValidation>
    <dataValidation type="list" showErrorMessage="1" errorTitle="Invalid status" error="Choose: Not Executed, Pass, Fail, Blocked or N/A" sqref="L4:L26">
      <formula1>"Not Executed,Pass,Fail,Blocked,N/A"</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
  <sheetViews>
    <sheetView workbookViewId="0" zoomScale="90">
      <pane xSplit="1" ySplit="3" topLeftCell="B4" activePane="bottomRight" state="frozen"/>
      <selection pane="bottomRight"/>
    </sheetView>
  </sheetViews>
  <sheetFormatPr defaultRowHeight="15" outlineLevelRow="0" outlineLevelCol="0" x14ac:dyDescent="55"/>
  <cols>
    <col min="1" max="1" width="12" customWidth="1"/>
    <col min="2" max="2" width="20" customWidth="1"/>
    <col min="3" max="3" width="22" customWidth="1"/>
    <col min="4" max="4" width="46" customWidth="1"/>
    <col min="5" max="5" width="14" customWidth="1"/>
    <col min="6" max="6" width="10" customWidth="1"/>
    <col min="7" max="7" width="38" customWidth="1"/>
    <col min="8" max="8" width="50" customWidth="1"/>
    <col min="9" max="9" width="26" customWidth="1"/>
    <col min="10" max="10" width="66" customWidth="1"/>
    <col min="11" max="11" width="30" customWidth="1"/>
    <col min="12" max="14" width="14" customWidth="1"/>
    <col min="15" max="15" width="26" customWidth="1"/>
  </cols>
  <sheetData>
    <row r="1" ht="28" customHeight="1" spans="1:15" x14ac:dyDescent="0.25">
      <c r="A1" s="6" t="s">
        <v>362</v>
      </c>
      <c r="B1" s="6"/>
      <c r="C1" s="6"/>
      <c r="D1" s="6"/>
      <c r="E1" s="6"/>
      <c r="F1" s="6"/>
      <c r="G1" s="6"/>
      <c r="H1" s="6"/>
      <c r="I1" s="6"/>
      <c r="J1" s="6"/>
      <c r="K1" s="6"/>
      <c r="L1" s="6"/>
      <c r="M1" s="6"/>
      <c r="N1" s="6"/>
      <c r="O1" s="6"/>
    </row>
    <row r="2" ht="20" customHeight="1" spans="1:15" x14ac:dyDescent="0.25">
      <c r="A2" s="7" t="s">
        <v>363</v>
      </c>
      <c r="B2" s="7"/>
      <c r="C2" s="7"/>
      <c r="D2" s="7"/>
      <c r="E2" s="7"/>
      <c r="F2" s="7"/>
      <c r="G2" s="7"/>
      <c r="H2" s="7"/>
      <c r="I2" s="7"/>
      <c r="J2" s="7"/>
      <c r="K2" s="7"/>
      <c r="L2" s="7"/>
      <c r="M2" s="7"/>
      <c r="N2" s="7"/>
      <c r="O2" s="7"/>
    </row>
    <row r="3" ht="30" customHeight="1" spans="1:15" x14ac:dyDescent="0.25">
      <c r="A3" s="8" t="s">
        <v>65</v>
      </c>
      <c r="B3" s="8" t="s">
        <v>66</v>
      </c>
      <c r="C3" s="8" t="s">
        <v>67</v>
      </c>
      <c r="D3" s="8" t="s">
        <v>68</v>
      </c>
      <c r="E3" s="8" t="s">
        <v>69</v>
      </c>
      <c r="F3" s="8" t="s">
        <v>70</v>
      </c>
      <c r="G3" s="8" t="s">
        <v>71</v>
      </c>
      <c r="H3" s="8" t="s">
        <v>72</v>
      </c>
      <c r="I3" s="8" t="s">
        <v>73</v>
      </c>
      <c r="J3" s="8" t="s">
        <v>74</v>
      </c>
      <c r="K3" s="8" t="s">
        <v>75</v>
      </c>
      <c r="L3" s="8" t="s">
        <v>76</v>
      </c>
      <c r="M3" s="8" t="s">
        <v>77</v>
      </c>
      <c r="N3" s="8" t="s">
        <v>78</v>
      </c>
      <c r="O3" s="8" t="s">
        <v>79</v>
      </c>
    </row>
    <row r="4" ht="46" customHeight="1" spans="1:15" x14ac:dyDescent="0.25">
      <c r="A4" s="9" t="s">
        <v>364</v>
      </c>
      <c r="B4" s="10" t="s">
        <v>45</v>
      </c>
      <c r="C4" s="10" t="s">
        <v>365</v>
      </c>
      <c r="D4" s="10" t="s">
        <v>366</v>
      </c>
      <c r="E4" s="11" t="s">
        <v>84</v>
      </c>
      <c r="F4" s="12" t="s">
        <v>85</v>
      </c>
      <c r="G4" s="10" t="s">
        <v>367</v>
      </c>
      <c r="H4" s="10" t="s">
        <v>368</v>
      </c>
      <c r="I4" s="10" t="s">
        <v>369</v>
      </c>
      <c r="J4" s="10" t="s">
        <v>370</v>
      </c>
      <c r="K4" s="10" t="s">
        <v>16</v>
      </c>
      <c r="L4" s="13" t="s">
        <v>90</v>
      </c>
      <c r="M4" s="10" t="s">
        <v>16</v>
      </c>
      <c r="N4" s="14" t="s">
        <v>16</v>
      </c>
      <c r="O4" s="10" t="s">
        <v>16</v>
      </c>
    </row>
    <row r="5" ht="46" customHeight="1" spans="1:15" x14ac:dyDescent="0.25">
      <c r="A5" s="15" t="s">
        <v>371</v>
      </c>
      <c r="B5" s="16" t="s">
        <v>45</v>
      </c>
      <c r="C5" s="16" t="s">
        <v>372</v>
      </c>
      <c r="D5" s="16" t="s">
        <v>373</v>
      </c>
      <c r="E5" s="17" t="s">
        <v>93</v>
      </c>
      <c r="F5" s="18" t="s">
        <v>85</v>
      </c>
      <c r="G5" s="16" t="s">
        <v>374</v>
      </c>
      <c r="H5" s="16" t="s">
        <v>375</v>
      </c>
      <c r="I5" s="16" t="s">
        <v>376</v>
      </c>
      <c r="J5" s="16" t="s">
        <v>377</v>
      </c>
      <c r="K5" s="16" t="s">
        <v>16</v>
      </c>
      <c r="L5" s="19" t="s">
        <v>90</v>
      </c>
      <c r="M5" s="16" t="s">
        <v>16</v>
      </c>
      <c r="N5" s="20" t="s">
        <v>16</v>
      </c>
      <c r="O5" s="16" t="s">
        <v>16</v>
      </c>
    </row>
    <row r="6" ht="46" customHeight="1" spans="1:15" x14ac:dyDescent="0.25">
      <c r="A6" s="9" t="s">
        <v>378</v>
      </c>
      <c r="B6" s="10" t="s">
        <v>45</v>
      </c>
      <c r="C6" s="10" t="s">
        <v>372</v>
      </c>
      <c r="D6" s="10" t="s">
        <v>379</v>
      </c>
      <c r="E6" s="11" t="s">
        <v>93</v>
      </c>
      <c r="F6" s="13" t="s">
        <v>124</v>
      </c>
      <c r="G6" s="10" t="s">
        <v>380</v>
      </c>
      <c r="H6" s="10" t="s">
        <v>381</v>
      </c>
      <c r="I6" s="10" t="s">
        <v>382</v>
      </c>
      <c r="J6" s="10" t="s">
        <v>383</v>
      </c>
      <c r="K6" s="10" t="s">
        <v>16</v>
      </c>
      <c r="L6" s="13" t="s">
        <v>90</v>
      </c>
      <c r="M6" s="10" t="s">
        <v>16</v>
      </c>
      <c r="N6" s="14" t="s">
        <v>16</v>
      </c>
      <c r="O6" s="10" t="s">
        <v>16</v>
      </c>
    </row>
    <row r="7" ht="84" customHeight="1" spans="1:15" x14ac:dyDescent="0.25">
      <c r="A7" s="15" t="s">
        <v>384</v>
      </c>
      <c r="B7" s="16" t="s">
        <v>45</v>
      </c>
      <c r="C7" s="16" t="s">
        <v>372</v>
      </c>
      <c r="D7" s="16" t="s">
        <v>385</v>
      </c>
      <c r="E7" s="17" t="s">
        <v>150</v>
      </c>
      <c r="F7" s="18" t="s">
        <v>85</v>
      </c>
      <c r="G7" s="16" t="s">
        <v>386</v>
      </c>
      <c r="H7" s="16" t="s">
        <v>387</v>
      </c>
      <c r="I7" s="16" t="s">
        <v>388</v>
      </c>
      <c r="J7" s="16" t="s">
        <v>389</v>
      </c>
      <c r="K7" s="16" t="s">
        <v>16</v>
      </c>
      <c r="L7" s="19" t="s">
        <v>90</v>
      </c>
      <c r="M7" s="16" t="s">
        <v>16</v>
      </c>
      <c r="N7" s="20" t="s">
        <v>16</v>
      </c>
      <c r="O7" s="16" t="s">
        <v>16</v>
      </c>
    </row>
    <row r="8" ht="46" customHeight="1" spans="1:15" x14ac:dyDescent="0.25">
      <c r="A8" s="9" t="s">
        <v>390</v>
      </c>
      <c r="B8" s="10" t="s">
        <v>45</v>
      </c>
      <c r="C8" s="10" t="s">
        <v>372</v>
      </c>
      <c r="D8" s="10" t="s">
        <v>391</v>
      </c>
      <c r="E8" s="11" t="s">
        <v>150</v>
      </c>
      <c r="F8" s="13" t="s">
        <v>124</v>
      </c>
      <c r="G8" s="10" t="s">
        <v>392</v>
      </c>
      <c r="H8" s="10" t="s">
        <v>393</v>
      </c>
      <c r="I8" s="10" t="s">
        <v>394</v>
      </c>
      <c r="J8" s="10" t="s">
        <v>395</v>
      </c>
      <c r="K8" s="10" t="s">
        <v>16</v>
      </c>
      <c r="L8" s="13" t="s">
        <v>90</v>
      </c>
      <c r="M8" s="10" t="s">
        <v>16</v>
      </c>
      <c r="N8" s="14" t="s">
        <v>16</v>
      </c>
      <c r="O8" s="10" t="s">
        <v>16</v>
      </c>
    </row>
    <row r="9" ht="56" customHeight="1" spans="1:15" x14ac:dyDescent="0.25">
      <c r="A9" s="15" t="s">
        <v>396</v>
      </c>
      <c r="B9" s="16" t="s">
        <v>45</v>
      </c>
      <c r="C9" s="16" t="s">
        <v>372</v>
      </c>
      <c r="D9" s="16" t="s">
        <v>397</v>
      </c>
      <c r="E9" s="17" t="s">
        <v>305</v>
      </c>
      <c r="F9" s="19" t="s">
        <v>124</v>
      </c>
      <c r="G9" s="16" t="s">
        <v>398</v>
      </c>
      <c r="H9" s="16" t="s">
        <v>399</v>
      </c>
      <c r="I9" s="16" t="s">
        <v>400</v>
      </c>
      <c r="J9" s="16" t="s">
        <v>401</v>
      </c>
      <c r="K9" s="16" t="s">
        <v>16</v>
      </c>
      <c r="L9" s="19" t="s">
        <v>90</v>
      </c>
      <c r="M9" s="16" t="s">
        <v>16</v>
      </c>
      <c r="N9" s="20" t="s">
        <v>16</v>
      </c>
      <c r="O9" s="16" t="s">
        <v>16</v>
      </c>
    </row>
    <row r="10" ht="46" customHeight="1" spans="1:15" x14ac:dyDescent="0.25">
      <c r="A10" s="9" t="s">
        <v>402</v>
      </c>
      <c r="B10" s="10" t="s">
        <v>45</v>
      </c>
      <c r="C10" s="10" t="s">
        <v>403</v>
      </c>
      <c r="D10" s="10" t="s">
        <v>404</v>
      </c>
      <c r="E10" s="11" t="s">
        <v>93</v>
      </c>
      <c r="F10" s="12" t="s">
        <v>85</v>
      </c>
      <c r="G10" s="10" t="s">
        <v>405</v>
      </c>
      <c r="H10" s="10" t="s">
        <v>406</v>
      </c>
      <c r="I10" s="10" t="s">
        <v>407</v>
      </c>
      <c r="J10" s="10" t="s">
        <v>408</v>
      </c>
      <c r="K10" s="10" t="s">
        <v>16</v>
      </c>
      <c r="L10" s="13" t="s">
        <v>90</v>
      </c>
      <c r="M10" s="10" t="s">
        <v>16</v>
      </c>
      <c r="N10" s="14" t="s">
        <v>16</v>
      </c>
      <c r="O10" s="10" t="s">
        <v>16</v>
      </c>
    </row>
    <row r="11" ht="46" customHeight="1" spans="1:15" x14ac:dyDescent="0.25">
      <c r="A11" s="15" t="s">
        <v>409</v>
      </c>
      <c r="B11" s="16" t="s">
        <v>45</v>
      </c>
      <c r="C11" s="16" t="s">
        <v>403</v>
      </c>
      <c r="D11" s="16" t="s">
        <v>410</v>
      </c>
      <c r="E11" s="17" t="s">
        <v>93</v>
      </c>
      <c r="F11" s="18" t="s">
        <v>85</v>
      </c>
      <c r="G11" s="16" t="s">
        <v>411</v>
      </c>
      <c r="H11" s="16" t="s">
        <v>412</v>
      </c>
      <c r="I11" s="16" t="s">
        <v>413</v>
      </c>
      <c r="J11" s="16" t="s">
        <v>414</v>
      </c>
      <c r="K11" s="16" t="s">
        <v>16</v>
      </c>
      <c r="L11" s="19" t="s">
        <v>90</v>
      </c>
      <c r="M11" s="16" t="s">
        <v>16</v>
      </c>
      <c r="N11" s="20" t="s">
        <v>16</v>
      </c>
      <c r="O11" s="16" t="s">
        <v>16</v>
      </c>
    </row>
    <row r="12" ht="46" customHeight="1" spans="1:15" x14ac:dyDescent="0.25">
      <c r="A12" s="9" t="s">
        <v>415</v>
      </c>
      <c r="B12" s="10" t="s">
        <v>45</v>
      </c>
      <c r="C12" s="10" t="s">
        <v>403</v>
      </c>
      <c r="D12" s="10" t="s">
        <v>416</v>
      </c>
      <c r="E12" s="11" t="s">
        <v>150</v>
      </c>
      <c r="F12" s="12" t="s">
        <v>85</v>
      </c>
      <c r="G12" s="10" t="s">
        <v>417</v>
      </c>
      <c r="H12" s="10" t="s">
        <v>418</v>
      </c>
      <c r="I12" s="10" t="s">
        <v>419</v>
      </c>
      <c r="J12" s="10" t="s">
        <v>420</v>
      </c>
      <c r="K12" s="10" t="s">
        <v>16</v>
      </c>
      <c r="L12" s="13" t="s">
        <v>90</v>
      </c>
      <c r="M12" s="10" t="s">
        <v>16</v>
      </c>
      <c r="N12" s="14" t="s">
        <v>16</v>
      </c>
      <c r="O12" s="10" t="s">
        <v>16</v>
      </c>
    </row>
    <row r="13" ht="46" customHeight="1" spans="1:15" x14ac:dyDescent="0.25">
      <c r="A13" s="15" t="s">
        <v>421</v>
      </c>
      <c r="B13" s="16" t="s">
        <v>45</v>
      </c>
      <c r="C13" s="16" t="s">
        <v>403</v>
      </c>
      <c r="D13" s="16" t="s">
        <v>422</v>
      </c>
      <c r="E13" s="17" t="s">
        <v>150</v>
      </c>
      <c r="F13" s="18" t="s">
        <v>85</v>
      </c>
      <c r="G13" s="16" t="s">
        <v>423</v>
      </c>
      <c r="H13" s="16" t="s">
        <v>424</v>
      </c>
      <c r="I13" s="16" t="s">
        <v>425</v>
      </c>
      <c r="J13" s="16" t="s">
        <v>426</v>
      </c>
      <c r="K13" s="16" t="s">
        <v>16</v>
      </c>
      <c r="L13" s="19" t="s">
        <v>90</v>
      </c>
      <c r="M13" s="16" t="s">
        <v>16</v>
      </c>
      <c r="N13" s="20" t="s">
        <v>16</v>
      </c>
      <c r="O13" s="16" t="s">
        <v>16</v>
      </c>
    </row>
    <row r="14" ht="46" customHeight="1" spans="1:15" x14ac:dyDescent="0.25">
      <c r="A14" s="9" t="s">
        <v>427</v>
      </c>
      <c r="B14" s="10" t="s">
        <v>45</v>
      </c>
      <c r="C14" s="10" t="s">
        <v>403</v>
      </c>
      <c r="D14" s="10" t="s">
        <v>428</v>
      </c>
      <c r="E14" s="11" t="s">
        <v>93</v>
      </c>
      <c r="F14" s="12" t="s">
        <v>85</v>
      </c>
      <c r="G14" s="10" t="s">
        <v>429</v>
      </c>
      <c r="H14" s="10" t="s">
        <v>430</v>
      </c>
      <c r="I14" s="10" t="s">
        <v>139</v>
      </c>
      <c r="J14" s="10" t="s">
        <v>431</v>
      </c>
      <c r="K14" s="10" t="s">
        <v>16</v>
      </c>
      <c r="L14" s="13" t="s">
        <v>90</v>
      </c>
      <c r="M14" s="10" t="s">
        <v>16</v>
      </c>
      <c r="N14" s="14" t="s">
        <v>16</v>
      </c>
      <c r="O14" s="10" t="s">
        <v>16</v>
      </c>
    </row>
    <row r="15" ht="46" customHeight="1" spans="1:15" x14ac:dyDescent="0.25">
      <c r="A15" s="15" t="s">
        <v>432</v>
      </c>
      <c r="B15" s="16" t="s">
        <v>45</v>
      </c>
      <c r="C15" s="16" t="s">
        <v>433</v>
      </c>
      <c r="D15" s="16" t="s">
        <v>434</v>
      </c>
      <c r="E15" s="17" t="s">
        <v>93</v>
      </c>
      <c r="F15" s="18" t="s">
        <v>85</v>
      </c>
      <c r="G15" s="16" t="s">
        <v>435</v>
      </c>
      <c r="H15" s="16" t="s">
        <v>436</v>
      </c>
      <c r="I15" s="16" t="s">
        <v>437</v>
      </c>
      <c r="J15" s="16" t="s">
        <v>438</v>
      </c>
      <c r="K15" s="16" t="s">
        <v>16</v>
      </c>
      <c r="L15" s="19" t="s">
        <v>90</v>
      </c>
      <c r="M15" s="16" t="s">
        <v>16</v>
      </c>
      <c r="N15" s="20" t="s">
        <v>16</v>
      </c>
      <c r="O15" s="16" t="s">
        <v>16</v>
      </c>
    </row>
    <row r="16" ht="56" customHeight="1" spans="1:15" x14ac:dyDescent="0.25">
      <c r="A16" s="9" t="s">
        <v>439</v>
      </c>
      <c r="B16" s="10" t="s">
        <v>45</v>
      </c>
      <c r="C16" s="10" t="s">
        <v>433</v>
      </c>
      <c r="D16" s="10" t="s">
        <v>440</v>
      </c>
      <c r="E16" s="11" t="s">
        <v>311</v>
      </c>
      <c r="F16" s="12" t="s">
        <v>85</v>
      </c>
      <c r="G16" s="10" t="s">
        <v>441</v>
      </c>
      <c r="H16" s="10" t="s">
        <v>442</v>
      </c>
      <c r="I16" s="10" t="s">
        <v>443</v>
      </c>
      <c r="J16" s="10" t="s">
        <v>444</v>
      </c>
      <c r="K16" s="10" t="s">
        <v>16</v>
      </c>
      <c r="L16" s="13" t="s">
        <v>90</v>
      </c>
      <c r="M16" s="10" t="s">
        <v>16</v>
      </c>
      <c r="N16" s="14" t="s">
        <v>16</v>
      </c>
      <c r="O16" s="10" t="s">
        <v>16</v>
      </c>
    </row>
    <row r="17" ht="46" customHeight="1" spans="1:15" x14ac:dyDescent="0.25">
      <c r="A17" s="15" t="s">
        <v>445</v>
      </c>
      <c r="B17" s="16" t="s">
        <v>45</v>
      </c>
      <c r="C17" s="16" t="s">
        <v>433</v>
      </c>
      <c r="D17" s="16" t="s">
        <v>446</v>
      </c>
      <c r="E17" s="17" t="s">
        <v>93</v>
      </c>
      <c r="F17" s="19" t="s">
        <v>124</v>
      </c>
      <c r="G17" s="16" t="s">
        <v>447</v>
      </c>
      <c r="H17" s="16" t="s">
        <v>448</v>
      </c>
      <c r="I17" s="16" t="s">
        <v>139</v>
      </c>
      <c r="J17" s="16" t="s">
        <v>449</v>
      </c>
      <c r="K17" s="16" t="s">
        <v>16</v>
      </c>
      <c r="L17" s="19" t="s">
        <v>90</v>
      </c>
      <c r="M17" s="16" t="s">
        <v>16</v>
      </c>
      <c r="N17" s="20" t="s">
        <v>16</v>
      </c>
      <c r="O17" s="16" t="s">
        <v>16</v>
      </c>
    </row>
    <row r="18" ht="46" customHeight="1" spans="1:15" x14ac:dyDescent="0.25">
      <c r="A18" s="9" t="s">
        <v>450</v>
      </c>
      <c r="B18" s="10" t="s">
        <v>45</v>
      </c>
      <c r="C18" s="10" t="s">
        <v>433</v>
      </c>
      <c r="D18" s="10" t="s">
        <v>451</v>
      </c>
      <c r="E18" s="11" t="s">
        <v>93</v>
      </c>
      <c r="F18" s="13" t="s">
        <v>124</v>
      </c>
      <c r="G18" s="10" t="s">
        <v>447</v>
      </c>
      <c r="H18" s="10" t="s">
        <v>452</v>
      </c>
      <c r="I18" s="10" t="s">
        <v>453</v>
      </c>
      <c r="J18" s="10" t="s">
        <v>454</v>
      </c>
      <c r="K18" s="10" t="s">
        <v>16</v>
      </c>
      <c r="L18" s="13" t="s">
        <v>90</v>
      </c>
      <c r="M18" s="10" t="s">
        <v>16</v>
      </c>
      <c r="N18" s="14" t="s">
        <v>16</v>
      </c>
      <c r="O18" s="10" t="s">
        <v>16</v>
      </c>
    </row>
    <row r="19" ht="46" customHeight="1" spans="1:15" x14ac:dyDescent="0.25">
      <c r="A19" s="15" t="s">
        <v>455</v>
      </c>
      <c r="B19" s="16" t="s">
        <v>45</v>
      </c>
      <c r="C19" s="16" t="s">
        <v>433</v>
      </c>
      <c r="D19" s="16" t="s">
        <v>456</v>
      </c>
      <c r="E19" s="17" t="s">
        <v>150</v>
      </c>
      <c r="F19" s="18" t="s">
        <v>85</v>
      </c>
      <c r="G19" s="16" t="s">
        <v>457</v>
      </c>
      <c r="H19" s="16" t="s">
        <v>458</v>
      </c>
      <c r="I19" s="16" t="s">
        <v>139</v>
      </c>
      <c r="J19" s="16" t="s">
        <v>459</v>
      </c>
      <c r="K19" s="16" t="s">
        <v>16</v>
      </c>
      <c r="L19" s="19" t="s">
        <v>90</v>
      </c>
      <c r="M19" s="16" t="s">
        <v>16</v>
      </c>
      <c r="N19" s="20" t="s">
        <v>16</v>
      </c>
      <c r="O19" s="16" t="s">
        <v>16</v>
      </c>
    </row>
    <row r="20" ht="56" customHeight="1" spans="1:15" x14ac:dyDescent="0.25">
      <c r="A20" s="9" t="s">
        <v>460</v>
      </c>
      <c r="B20" s="10" t="s">
        <v>45</v>
      </c>
      <c r="C20" s="10" t="s">
        <v>461</v>
      </c>
      <c r="D20" s="10" t="s">
        <v>462</v>
      </c>
      <c r="E20" s="11" t="s">
        <v>93</v>
      </c>
      <c r="F20" s="12" t="s">
        <v>85</v>
      </c>
      <c r="G20" s="10" t="s">
        <v>463</v>
      </c>
      <c r="H20" s="10" t="s">
        <v>464</v>
      </c>
      <c r="I20" s="10" t="s">
        <v>465</v>
      </c>
      <c r="J20" s="10" t="s">
        <v>466</v>
      </c>
      <c r="K20" s="10" t="s">
        <v>16</v>
      </c>
      <c r="L20" s="13" t="s">
        <v>90</v>
      </c>
      <c r="M20" s="10" t="s">
        <v>16</v>
      </c>
      <c r="N20" s="14" t="s">
        <v>16</v>
      </c>
      <c r="O20" s="10" t="s">
        <v>16</v>
      </c>
    </row>
    <row r="21" ht="46" customHeight="1" spans="1:15" x14ac:dyDescent="0.25">
      <c r="A21" s="15" t="s">
        <v>467</v>
      </c>
      <c r="B21" s="16" t="s">
        <v>45</v>
      </c>
      <c r="C21" s="16" t="s">
        <v>461</v>
      </c>
      <c r="D21" s="16" t="s">
        <v>468</v>
      </c>
      <c r="E21" s="17" t="s">
        <v>311</v>
      </c>
      <c r="F21" s="18" t="s">
        <v>85</v>
      </c>
      <c r="G21" s="16" t="s">
        <v>469</v>
      </c>
      <c r="H21" s="16" t="s">
        <v>470</v>
      </c>
      <c r="I21" s="16" t="s">
        <v>471</v>
      </c>
      <c r="J21" s="16" t="s">
        <v>472</v>
      </c>
      <c r="K21" s="16" t="s">
        <v>16</v>
      </c>
      <c r="L21" s="19" t="s">
        <v>90</v>
      </c>
      <c r="M21" s="16" t="s">
        <v>16</v>
      </c>
      <c r="N21" s="20" t="s">
        <v>16</v>
      </c>
      <c r="O21" s="16" t="s">
        <v>16</v>
      </c>
    </row>
    <row r="22" ht="46" customHeight="1" spans="1:15" x14ac:dyDescent="0.25">
      <c r="A22" s="9" t="s">
        <v>473</v>
      </c>
      <c r="B22" s="10" t="s">
        <v>45</v>
      </c>
      <c r="C22" s="10" t="s">
        <v>461</v>
      </c>
      <c r="D22" s="10" t="s">
        <v>474</v>
      </c>
      <c r="E22" s="11" t="s">
        <v>311</v>
      </c>
      <c r="F22" s="12" t="s">
        <v>85</v>
      </c>
      <c r="G22" s="10" t="s">
        <v>475</v>
      </c>
      <c r="H22" s="10" t="s">
        <v>476</v>
      </c>
      <c r="I22" s="10" t="s">
        <v>477</v>
      </c>
      <c r="J22" s="10" t="s">
        <v>478</v>
      </c>
      <c r="K22" s="10" t="s">
        <v>16</v>
      </c>
      <c r="L22" s="13" t="s">
        <v>90</v>
      </c>
      <c r="M22" s="10" t="s">
        <v>16</v>
      </c>
      <c r="N22" s="14" t="s">
        <v>16</v>
      </c>
      <c r="O22" s="10" t="s">
        <v>16</v>
      </c>
    </row>
    <row r="23" ht="56" customHeight="1" spans="1:15" x14ac:dyDescent="0.25">
      <c r="A23" s="15" t="s">
        <v>479</v>
      </c>
      <c r="B23" s="16" t="s">
        <v>45</v>
      </c>
      <c r="C23" s="16" t="s">
        <v>461</v>
      </c>
      <c r="D23" s="16" t="s">
        <v>480</v>
      </c>
      <c r="E23" s="17" t="s">
        <v>84</v>
      </c>
      <c r="F23" s="18" t="s">
        <v>85</v>
      </c>
      <c r="G23" s="16" t="s">
        <v>481</v>
      </c>
      <c r="H23" s="16" t="s">
        <v>482</v>
      </c>
      <c r="I23" s="16" t="s">
        <v>483</v>
      </c>
      <c r="J23" s="16" t="s">
        <v>484</v>
      </c>
      <c r="K23" s="16" t="s">
        <v>16</v>
      </c>
      <c r="L23" s="19" t="s">
        <v>90</v>
      </c>
      <c r="M23" s="16" t="s">
        <v>16</v>
      </c>
      <c r="N23" s="20" t="s">
        <v>16</v>
      </c>
      <c r="O23" s="16" t="s">
        <v>16</v>
      </c>
    </row>
    <row r="24" ht="46" customHeight="1" spans="1:15" x14ac:dyDescent="0.25">
      <c r="A24" s="9" t="s">
        <v>485</v>
      </c>
      <c r="B24" s="10" t="s">
        <v>45</v>
      </c>
      <c r="C24" s="10" t="s">
        <v>461</v>
      </c>
      <c r="D24" s="10" t="s">
        <v>486</v>
      </c>
      <c r="E24" s="11" t="s">
        <v>305</v>
      </c>
      <c r="F24" s="12" t="s">
        <v>85</v>
      </c>
      <c r="G24" s="10" t="s">
        <v>487</v>
      </c>
      <c r="H24" s="10" t="s">
        <v>488</v>
      </c>
      <c r="I24" s="10" t="s">
        <v>489</v>
      </c>
      <c r="J24" s="10" t="s">
        <v>490</v>
      </c>
      <c r="K24" s="10" t="s">
        <v>16</v>
      </c>
      <c r="L24" s="13" t="s">
        <v>90</v>
      </c>
      <c r="M24" s="10" t="s">
        <v>16</v>
      </c>
      <c r="N24" s="14" t="s">
        <v>16</v>
      </c>
      <c r="O24" s="10" t="s">
        <v>16</v>
      </c>
    </row>
    <row r="25" ht="46" customHeight="1" spans="1:15" x14ac:dyDescent="0.25">
      <c r="A25" s="15" t="s">
        <v>491</v>
      </c>
      <c r="B25" s="16" t="s">
        <v>45</v>
      </c>
      <c r="C25" s="16" t="s">
        <v>461</v>
      </c>
      <c r="D25" s="16" t="s">
        <v>492</v>
      </c>
      <c r="E25" s="17" t="s">
        <v>150</v>
      </c>
      <c r="F25" s="18" t="s">
        <v>85</v>
      </c>
      <c r="G25" s="16" t="s">
        <v>493</v>
      </c>
      <c r="H25" s="16" t="s">
        <v>494</v>
      </c>
      <c r="I25" s="16" t="s">
        <v>139</v>
      </c>
      <c r="J25" s="16" t="s">
        <v>495</v>
      </c>
      <c r="K25" s="16" t="s">
        <v>16</v>
      </c>
      <c r="L25" s="19" t="s">
        <v>90</v>
      </c>
      <c r="M25" s="16" t="s">
        <v>16</v>
      </c>
      <c r="N25" s="20" t="s">
        <v>16</v>
      </c>
      <c r="O25" s="16" t="s">
        <v>16</v>
      </c>
    </row>
    <row r="26" ht="56" customHeight="1" spans="1:15" x14ac:dyDescent="0.25">
      <c r="A26" s="9" t="s">
        <v>496</v>
      </c>
      <c r="B26" s="10" t="s">
        <v>45</v>
      </c>
      <c r="C26" s="10" t="s">
        <v>497</v>
      </c>
      <c r="D26" s="10" t="s">
        <v>498</v>
      </c>
      <c r="E26" s="11" t="s">
        <v>93</v>
      </c>
      <c r="F26" s="12" t="s">
        <v>85</v>
      </c>
      <c r="G26" s="10" t="s">
        <v>447</v>
      </c>
      <c r="H26" s="10" t="s">
        <v>499</v>
      </c>
      <c r="I26" s="10" t="s">
        <v>500</v>
      </c>
      <c r="J26" s="10" t="s">
        <v>501</v>
      </c>
      <c r="K26" s="10" t="s">
        <v>16</v>
      </c>
      <c r="L26" s="13" t="s">
        <v>90</v>
      </c>
      <c r="M26" s="10" t="s">
        <v>16</v>
      </c>
      <c r="N26" s="14" t="s">
        <v>16</v>
      </c>
      <c r="O26" s="10" t="s">
        <v>16</v>
      </c>
    </row>
    <row r="27" ht="46" customHeight="1" spans="1:15" x14ac:dyDescent="0.25">
      <c r="A27" s="15" t="s">
        <v>502</v>
      </c>
      <c r="B27" s="16" t="s">
        <v>45</v>
      </c>
      <c r="C27" s="16" t="s">
        <v>497</v>
      </c>
      <c r="D27" s="16" t="s">
        <v>503</v>
      </c>
      <c r="E27" s="17" t="s">
        <v>150</v>
      </c>
      <c r="F27" s="18" t="s">
        <v>85</v>
      </c>
      <c r="G27" s="16" t="s">
        <v>504</v>
      </c>
      <c r="H27" s="16" t="s">
        <v>505</v>
      </c>
      <c r="I27" s="16" t="s">
        <v>139</v>
      </c>
      <c r="J27" s="16" t="s">
        <v>506</v>
      </c>
      <c r="K27" s="16" t="s">
        <v>16</v>
      </c>
      <c r="L27" s="19" t="s">
        <v>90</v>
      </c>
      <c r="M27" s="16" t="s">
        <v>16</v>
      </c>
      <c r="N27" s="20" t="s">
        <v>16</v>
      </c>
      <c r="O27" s="16" t="s">
        <v>16</v>
      </c>
    </row>
    <row r="28" ht="46" customHeight="1" spans="1:15" x14ac:dyDescent="0.25">
      <c r="A28" s="9" t="s">
        <v>507</v>
      </c>
      <c r="B28" s="10" t="s">
        <v>45</v>
      </c>
      <c r="C28" s="10" t="s">
        <v>508</v>
      </c>
      <c r="D28" s="10" t="s">
        <v>509</v>
      </c>
      <c r="E28" s="11" t="s">
        <v>311</v>
      </c>
      <c r="F28" s="12" t="s">
        <v>85</v>
      </c>
      <c r="G28" s="10" t="s">
        <v>510</v>
      </c>
      <c r="H28" s="10" t="s">
        <v>511</v>
      </c>
      <c r="I28" s="10" t="s">
        <v>139</v>
      </c>
      <c r="J28" s="10" t="s">
        <v>512</v>
      </c>
      <c r="K28" s="10" t="s">
        <v>16</v>
      </c>
      <c r="L28" s="13" t="s">
        <v>90</v>
      </c>
      <c r="M28" s="10" t="s">
        <v>16</v>
      </c>
      <c r="N28" s="14" t="s">
        <v>16</v>
      </c>
      <c r="O28" s="10" t="s">
        <v>16</v>
      </c>
    </row>
    <row r="29" ht="46" customHeight="1" spans="1:15" x14ac:dyDescent="0.25">
      <c r="A29" s="15" t="s">
        <v>513</v>
      </c>
      <c r="B29" s="16" t="s">
        <v>45</v>
      </c>
      <c r="C29" s="16" t="s">
        <v>514</v>
      </c>
      <c r="D29" s="16" t="s">
        <v>515</v>
      </c>
      <c r="E29" s="17" t="s">
        <v>93</v>
      </c>
      <c r="F29" s="18" t="s">
        <v>85</v>
      </c>
      <c r="G29" s="16" t="s">
        <v>516</v>
      </c>
      <c r="H29" s="16" t="s">
        <v>517</v>
      </c>
      <c r="I29" s="16" t="s">
        <v>518</v>
      </c>
      <c r="J29" s="16" t="s">
        <v>519</v>
      </c>
      <c r="K29" s="16" t="s">
        <v>16</v>
      </c>
      <c r="L29" s="19" t="s">
        <v>90</v>
      </c>
      <c r="M29" s="16" t="s">
        <v>16</v>
      </c>
      <c r="N29" s="20" t="s">
        <v>16</v>
      </c>
      <c r="O29" s="16" t="s">
        <v>16</v>
      </c>
    </row>
    <row r="30" ht="46" customHeight="1" spans="1:15" x14ac:dyDescent="0.25">
      <c r="A30" s="9" t="s">
        <v>520</v>
      </c>
      <c r="B30" s="10" t="s">
        <v>45</v>
      </c>
      <c r="C30" s="10" t="s">
        <v>514</v>
      </c>
      <c r="D30" s="10" t="s">
        <v>521</v>
      </c>
      <c r="E30" s="11" t="s">
        <v>93</v>
      </c>
      <c r="F30" s="12" t="s">
        <v>85</v>
      </c>
      <c r="G30" s="10" t="s">
        <v>522</v>
      </c>
      <c r="H30" s="10" t="s">
        <v>523</v>
      </c>
      <c r="I30" s="10" t="s">
        <v>524</v>
      </c>
      <c r="J30" s="10" t="s">
        <v>525</v>
      </c>
      <c r="K30" s="10" t="s">
        <v>16</v>
      </c>
      <c r="L30" s="13" t="s">
        <v>90</v>
      </c>
      <c r="M30" s="10" t="s">
        <v>16</v>
      </c>
      <c r="N30" s="14" t="s">
        <v>16</v>
      </c>
      <c r="O30" s="10" t="s">
        <v>16</v>
      </c>
    </row>
    <row r="31" ht="46" customHeight="1" spans="1:15" x14ac:dyDescent="0.25">
      <c r="A31" s="15" t="s">
        <v>526</v>
      </c>
      <c r="B31" s="16" t="s">
        <v>45</v>
      </c>
      <c r="C31" s="16" t="s">
        <v>527</v>
      </c>
      <c r="D31" s="16" t="s">
        <v>528</v>
      </c>
      <c r="E31" s="17" t="s">
        <v>84</v>
      </c>
      <c r="F31" s="18" t="s">
        <v>85</v>
      </c>
      <c r="G31" s="16" t="s">
        <v>529</v>
      </c>
      <c r="H31" s="16" t="s">
        <v>530</v>
      </c>
      <c r="I31" s="16" t="s">
        <v>139</v>
      </c>
      <c r="J31" s="16" t="s">
        <v>531</v>
      </c>
      <c r="K31" s="16" t="s">
        <v>16</v>
      </c>
      <c r="L31" s="19" t="s">
        <v>90</v>
      </c>
      <c r="M31" s="16" t="s">
        <v>16</v>
      </c>
      <c r="N31" s="20" t="s">
        <v>16</v>
      </c>
      <c r="O31" s="16" t="s">
        <v>16</v>
      </c>
    </row>
    <row r="32" ht="46" customHeight="1" spans="1:15" x14ac:dyDescent="0.25">
      <c r="A32" s="9" t="s">
        <v>532</v>
      </c>
      <c r="B32" s="10" t="s">
        <v>45</v>
      </c>
      <c r="C32" s="10" t="s">
        <v>533</v>
      </c>
      <c r="D32" s="10" t="s">
        <v>534</v>
      </c>
      <c r="E32" s="11" t="s">
        <v>93</v>
      </c>
      <c r="F32" s="13" t="s">
        <v>329</v>
      </c>
      <c r="G32" s="10" t="s">
        <v>535</v>
      </c>
      <c r="H32" s="10" t="s">
        <v>536</v>
      </c>
      <c r="I32" s="10" t="s">
        <v>139</v>
      </c>
      <c r="J32" s="10" t="s">
        <v>537</v>
      </c>
      <c r="K32" s="10" t="s">
        <v>16</v>
      </c>
      <c r="L32" s="13" t="s">
        <v>90</v>
      </c>
      <c r="M32" s="10" t="s">
        <v>16</v>
      </c>
      <c r="N32" s="14" t="s">
        <v>16</v>
      </c>
      <c r="O32" s="10" t="s">
        <v>16</v>
      </c>
    </row>
  </sheetData>
  <autoFilter ref="A3:O32"/>
  <mergeCells count="2">
    <mergeCell ref="A1:O1"/>
    <mergeCell ref="A2:O2"/>
  </mergeCells>
  <conditionalFormatting sqref="L4:L32">
    <cfRule type="containsText" dxfId="6" priority="1">
      <formula>NOT(ISERROR(SEARCH("Pass",L4)))</formula>
    </cfRule>
    <cfRule type="containsText" dxfId="7" priority="2">
      <formula>NOT(ISERROR(SEARCH("Fail",L4)))</formula>
    </cfRule>
    <cfRule type="containsText" dxfId="8" priority="3">
      <formula>NOT(ISERROR(SEARCH("Blocked",L4)))</formula>
    </cfRule>
  </conditionalFormatting>
  <dataValidations count="2">
    <dataValidation type="list" showErrorMessage="1" errorTitle="Invalid status" error="Choose: Not Executed, Pass, Fail, Blocked or N/A" sqref="L10:L32">
      <formula1>"Not Executed,Pass,Fail,Blocked,N/A"</formula1>
    </dataValidation>
    <dataValidation type="list" showErrorMessage="1" errorTitle="Invalid status" error="Choose: Not Executed, Pass, Fail, Blocked or N/A" sqref="L4:L32">
      <formula1>"Not Executed,Pass,Fail,Blocked,N/A"</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0"/>
  <sheetViews>
    <sheetView workbookViewId="0" zoomScale="90">
      <pane xSplit="1" ySplit="3" topLeftCell="B4" activePane="bottomRight" state="frozen"/>
      <selection pane="bottomRight"/>
    </sheetView>
  </sheetViews>
  <sheetFormatPr defaultRowHeight="15" outlineLevelRow="0" outlineLevelCol="0" x14ac:dyDescent="55"/>
  <cols>
    <col min="1" max="1" width="12" customWidth="1"/>
    <col min="2" max="2" width="20" customWidth="1"/>
    <col min="3" max="3" width="22" customWidth="1"/>
    <col min="4" max="4" width="46" customWidth="1"/>
    <col min="5" max="5" width="14" customWidth="1"/>
    <col min="6" max="6" width="10" customWidth="1"/>
    <col min="7" max="7" width="38" customWidth="1"/>
    <col min="8" max="8" width="50" customWidth="1"/>
    <col min="9" max="9" width="26" customWidth="1"/>
    <col min="10" max="10" width="66" customWidth="1"/>
    <col min="11" max="11" width="30" customWidth="1"/>
    <col min="12" max="14" width="14" customWidth="1"/>
    <col min="15" max="15" width="26" customWidth="1"/>
  </cols>
  <sheetData>
    <row r="1" ht="28" customHeight="1" spans="1:15" x14ac:dyDescent="0.25">
      <c r="A1" s="6" t="s">
        <v>538</v>
      </c>
      <c r="B1" s="6"/>
      <c r="C1" s="6"/>
      <c r="D1" s="6"/>
      <c r="E1" s="6"/>
      <c r="F1" s="6"/>
      <c r="G1" s="6"/>
      <c r="H1" s="6"/>
      <c r="I1" s="6"/>
      <c r="J1" s="6"/>
      <c r="K1" s="6"/>
      <c r="L1" s="6"/>
      <c r="M1" s="6"/>
      <c r="N1" s="6"/>
      <c r="O1" s="6"/>
    </row>
    <row r="2" ht="20" customHeight="1" spans="1:15" x14ac:dyDescent="0.25">
      <c r="A2" s="7" t="s">
        <v>539</v>
      </c>
      <c r="B2" s="7"/>
      <c r="C2" s="7"/>
      <c r="D2" s="7"/>
      <c r="E2" s="7"/>
      <c r="F2" s="7"/>
      <c r="G2" s="7"/>
      <c r="H2" s="7"/>
      <c r="I2" s="7"/>
      <c r="J2" s="7"/>
      <c r="K2" s="7"/>
      <c r="L2" s="7"/>
      <c r="M2" s="7"/>
      <c r="N2" s="7"/>
      <c r="O2" s="7"/>
    </row>
    <row r="3" ht="30" customHeight="1" spans="1:15" x14ac:dyDescent="0.25">
      <c r="A3" s="8" t="s">
        <v>65</v>
      </c>
      <c r="B3" s="8" t="s">
        <v>66</v>
      </c>
      <c r="C3" s="8" t="s">
        <v>67</v>
      </c>
      <c r="D3" s="8" t="s">
        <v>68</v>
      </c>
      <c r="E3" s="8" t="s">
        <v>69</v>
      </c>
      <c r="F3" s="8" t="s">
        <v>70</v>
      </c>
      <c r="G3" s="8" t="s">
        <v>71</v>
      </c>
      <c r="H3" s="8" t="s">
        <v>72</v>
      </c>
      <c r="I3" s="8" t="s">
        <v>73</v>
      </c>
      <c r="J3" s="8" t="s">
        <v>74</v>
      </c>
      <c r="K3" s="8" t="s">
        <v>75</v>
      </c>
      <c r="L3" s="8" t="s">
        <v>76</v>
      </c>
      <c r="M3" s="8" t="s">
        <v>77</v>
      </c>
      <c r="N3" s="8" t="s">
        <v>78</v>
      </c>
      <c r="O3" s="8" t="s">
        <v>79</v>
      </c>
    </row>
    <row r="4" ht="56" customHeight="1" spans="1:15" x14ac:dyDescent="0.25">
      <c r="A4" s="9" t="s">
        <v>540</v>
      </c>
      <c r="B4" s="10" t="s">
        <v>541</v>
      </c>
      <c r="C4" s="10" t="s">
        <v>542</v>
      </c>
      <c r="D4" s="10" t="s">
        <v>543</v>
      </c>
      <c r="E4" s="11" t="s">
        <v>93</v>
      </c>
      <c r="F4" s="12" t="s">
        <v>85</v>
      </c>
      <c r="G4" s="10" t="s">
        <v>544</v>
      </c>
      <c r="H4" s="10" t="s">
        <v>545</v>
      </c>
      <c r="I4" s="10" t="s">
        <v>546</v>
      </c>
      <c r="J4" s="10" t="s">
        <v>547</v>
      </c>
      <c r="K4" s="10" t="s">
        <v>16</v>
      </c>
      <c r="L4" s="13" t="s">
        <v>90</v>
      </c>
      <c r="M4" s="10" t="s">
        <v>16</v>
      </c>
      <c r="N4" s="14" t="s">
        <v>16</v>
      </c>
      <c r="O4" s="10" t="s">
        <v>16</v>
      </c>
    </row>
    <row r="5" ht="56" customHeight="1" spans="1:15" x14ac:dyDescent="0.25">
      <c r="A5" s="15" t="s">
        <v>548</v>
      </c>
      <c r="B5" s="16" t="s">
        <v>541</v>
      </c>
      <c r="C5" s="16" t="s">
        <v>549</v>
      </c>
      <c r="D5" s="16" t="s">
        <v>550</v>
      </c>
      <c r="E5" s="17" t="s">
        <v>93</v>
      </c>
      <c r="F5" s="18" t="s">
        <v>85</v>
      </c>
      <c r="G5" s="16" t="s">
        <v>551</v>
      </c>
      <c r="H5" s="16" t="s">
        <v>552</v>
      </c>
      <c r="I5" s="16" t="s">
        <v>139</v>
      </c>
      <c r="J5" s="16" t="s">
        <v>553</v>
      </c>
      <c r="K5" s="16" t="s">
        <v>16</v>
      </c>
      <c r="L5" s="19" t="s">
        <v>90</v>
      </c>
      <c r="M5" s="16" t="s">
        <v>16</v>
      </c>
      <c r="N5" s="20" t="s">
        <v>16</v>
      </c>
      <c r="O5" s="16" t="s">
        <v>16</v>
      </c>
    </row>
    <row r="6" ht="56" customHeight="1" spans="1:15" x14ac:dyDescent="0.25">
      <c r="A6" s="9" t="s">
        <v>554</v>
      </c>
      <c r="B6" s="10" t="s">
        <v>541</v>
      </c>
      <c r="C6" s="10" t="s">
        <v>549</v>
      </c>
      <c r="D6" s="10" t="s">
        <v>555</v>
      </c>
      <c r="E6" s="11" t="s">
        <v>84</v>
      </c>
      <c r="F6" s="12" t="s">
        <v>85</v>
      </c>
      <c r="G6" s="10" t="s">
        <v>556</v>
      </c>
      <c r="H6" s="10" t="s">
        <v>557</v>
      </c>
      <c r="I6" s="10" t="s">
        <v>558</v>
      </c>
      <c r="J6" s="10" t="s">
        <v>559</v>
      </c>
      <c r="K6" s="10" t="s">
        <v>16</v>
      </c>
      <c r="L6" s="13" t="s">
        <v>90</v>
      </c>
      <c r="M6" s="10" t="s">
        <v>16</v>
      </c>
      <c r="N6" s="14" t="s">
        <v>16</v>
      </c>
      <c r="O6" s="10" t="s">
        <v>16</v>
      </c>
    </row>
    <row r="7" ht="56" customHeight="1" spans="1:15" x14ac:dyDescent="0.25">
      <c r="A7" s="15" t="s">
        <v>560</v>
      </c>
      <c r="B7" s="16" t="s">
        <v>541</v>
      </c>
      <c r="C7" s="16" t="s">
        <v>549</v>
      </c>
      <c r="D7" s="16" t="s">
        <v>561</v>
      </c>
      <c r="E7" s="17" t="s">
        <v>93</v>
      </c>
      <c r="F7" s="19" t="s">
        <v>124</v>
      </c>
      <c r="G7" s="16" t="s">
        <v>562</v>
      </c>
      <c r="H7" s="16" t="s">
        <v>563</v>
      </c>
      <c r="I7" s="16" t="s">
        <v>564</v>
      </c>
      <c r="J7" s="16" t="s">
        <v>565</v>
      </c>
      <c r="K7" s="16" t="s">
        <v>16</v>
      </c>
      <c r="L7" s="19" t="s">
        <v>90</v>
      </c>
      <c r="M7" s="16" t="s">
        <v>16</v>
      </c>
      <c r="N7" s="20" t="s">
        <v>16</v>
      </c>
      <c r="O7" s="16" t="s">
        <v>16</v>
      </c>
    </row>
    <row r="8" ht="56" customHeight="1" spans="1:15" x14ac:dyDescent="0.25">
      <c r="A8" s="9" t="s">
        <v>566</v>
      </c>
      <c r="B8" s="10" t="s">
        <v>541</v>
      </c>
      <c r="C8" s="10" t="s">
        <v>567</v>
      </c>
      <c r="D8" s="10" t="s">
        <v>568</v>
      </c>
      <c r="E8" s="11" t="s">
        <v>569</v>
      </c>
      <c r="F8" s="12" t="s">
        <v>85</v>
      </c>
      <c r="G8" s="10" t="s">
        <v>570</v>
      </c>
      <c r="H8" s="10" t="s">
        <v>571</v>
      </c>
      <c r="I8" s="10" t="s">
        <v>572</v>
      </c>
      <c r="J8" s="10" t="s">
        <v>573</v>
      </c>
      <c r="K8" s="10" t="s">
        <v>16</v>
      </c>
      <c r="L8" s="13" t="s">
        <v>90</v>
      </c>
      <c r="M8" s="10" t="s">
        <v>16</v>
      </c>
      <c r="N8" s="14" t="s">
        <v>16</v>
      </c>
      <c r="O8" s="10" t="s">
        <v>16</v>
      </c>
    </row>
    <row r="9" ht="46" customHeight="1" spans="1:15" x14ac:dyDescent="0.25">
      <c r="A9" s="15" t="s">
        <v>574</v>
      </c>
      <c r="B9" s="16" t="s">
        <v>541</v>
      </c>
      <c r="C9" s="16" t="s">
        <v>567</v>
      </c>
      <c r="D9" s="16" t="s">
        <v>575</v>
      </c>
      <c r="E9" s="17" t="s">
        <v>569</v>
      </c>
      <c r="F9" s="18" t="s">
        <v>85</v>
      </c>
      <c r="G9" s="16" t="s">
        <v>576</v>
      </c>
      <c r="H9" s="16" t="s">
        <v>577</v>
      </c>
      <c r="I9" s="16" t="s">
        <v>578</v>
      </c>
      <c r="J9" s="16" t="s">
        <v>579</v>
      </c>
      <c r="K9" s="16" t="s">
        <v>16</v>
      </c>
      <c r="L9" s="19" t="s">
        <v>90</v>
      </c>
      <c r="M9" s="16" t="s">
        <v>16</v>
      </c>
      <c r="N9" s="20" t="s">
        <v>16</v>
      </c>
      <c r="O9" s="16" t="s">
        <v>16</v>
      </c>
    </row>
    <row r="10" ht="46" customHeight="1" spans="1:15" x14ac:dyDescent="0.25">
      <c r="A10" s="9" t="s">
        <v>580</v>
      </c>
      <c r="B10" s="10" t="s">
        <v>541</v>
      </c>
      <c r="C10" s="10" t="s">
        <v>567</v>
      </c>
      <c r="D10" s="10" t="s">
        <v>581</v>
      </c>
      <c r="E10" s="11" t="s">
        <v>569</v>
      </c>
      <c r="F10" s="12" t="s">
        <v>85</v>
      </c>
      <c r="G10" s="10" t="s">
        <v>582</v>
      </c>
      <c r="H10" s="10" t="s">
        <v>583</v>
      </c>
      <c r="I10" s="10" t="s">
        <v>584</v>
      </c>
      <c r="J10" s="10" t="s">
        <v>585</v>
      </c>
      <c r="K10" s="10" t="s">
        <v>16</v>
      </c>
      <c r="L10" s="13" t="s">
        <v>90</v>
      </c>
      <c r="M10" s="10" t="s">
        <v>16</v>
      </c>
      <c r="N10" s="14" t="s">
        <v>16</v>
      </c>
      <c r="O10" s="10" t="s">
        <v>16</v>
      </c>
    </row>
    <row r="11" ht="56" customHeight="1" spans="1:15" x14ac:dyDescent="0.25">
      <c r="A11" s="15" t="s">
        <v>586</v>
      </c>
      <c r="B11" s="16" t="s">
        <v>541</v>
      </c>
      <c r="C11" s="16" t="s">
        <v>567</v>
      </c>
      <c r="D11" s="16" t="s">
        <v>587</v>
      </c>
      <c r="E11" s="17" t="s">
        <v>150</v>
      </c>
      <c r="F11" s="18" t="s">
        <v>85</v>
      </c>
      <c r="G11" s="16" t="s">
        <v>588</v>
      </c>
      <c r="H11" s="16" t="s">
        <v>589</v>
      </c>
      <c r="I11" s="16" t="s">
        <v>590</v>
      </c>
      <c r="J11" s="16" t="s">
        <v>591</v>
      </c>
      <c r="K11" s="16" t="s">
        <v>16</v>
      </c>
      <c r="L11" s="19" t="s">
        <v>90</v>
      </c>
      <c r="M11" s="16" t="s">
        <v>16</v>
      </c>
      <c r="N11" s="20" t="s">
        <v>16</v>
      </c>
      <c r="O11" s="16" t="s">
        <v>16</v>
      </c>
    </row>
    <row r="12" ht="46" customHeight="1" spans="1:15" x14ac:dyDescent="0.25">
      <c r="A12" s="9" t="s">
        <v>592</v>
      </c>
      <c r="B12" s="10" t="s">
        <v>541</v>
      </c>
      <c r="C12" s="10" t="s">
        <v>593</v>
      </c>
      <c r="D12" s="10" t="s">
        <v>594</v>
      </c>
      <c r="E12" s="11" t="s">
        <v>93</v>
      </c>
      <c r="F12" s="12" t="s">
        <v>85</v>
      </c>
      <c r="G12" s="10" t="s">
        <v>595</v>
      </c>
      <c r="H12" s="10" t="s">
        <v>596</v>
      </c>
      <c r="I12" s="10" t="s">
        <v>597</v>
      </c>
      <c r="J12" s="10" t="s">
        <v>598</v>
      </c>
      <c r="K12" s="10" t="s">
        <v>16</v>
      </c>
      <c r="L12" s="13" t="s">
        <v>90</v>
      </c>
      <c r="M12" s="10" t="s">
        <v>16</v>
      </c>
      <c r="N12" s="14" t="s">
        <v>16</v>
      </c>
      <c r="O12" s="10" t="s">
        <v>16</v>
      </c>
    </row>
    <row r="13" ht="46" customHeight="1" spans="1:15" x14ac:dyDescent="0.25">
      <c r="A13" s="15" t="s">
        <v>599</v>
      </c>
      <c r="B13" s="16" t="s">
        <v>541</v>
      </c>
      <c r="C13" s="16" t="s">
        <v>593</v>
      </c>
      <c r="D13" s="16" t="s">
        <v>600</v>
      </c>
      <c r="E13" s="17" t="s">
        <v>311</v>
      </c>
      <c r="F13" s="18" t="s">
        <v>85</v>
      </c>
      <c r="G13" s="16" t="s">
        <v>601</v>
      </c>
      <c r="H13" s="16" t="s">
        <v>602</v>
      </c>
      <c r="I13" s="16" t="s">
        <v>603</v>
      </c>
      <c r="J13" s="16" t="s">
        <v>604</v>
      </c>
      <c r="K13" s="16" t="s">
        <v>16</v>
      </c>
      <c r="L13" s="19" t="s">
        <v>90</v>
      </c>
      <c r="M13" s="16" t="s">
        <v>16</v>
      </c>
      <c r="N13" s="20" t="s">
        <v>16</v>
      </c>
      <c r="O13" s="16" t="s">
        <v>16</v>
      </c>
    </row>
    <row r="14" ht="46" customHeight="1" spans="1:15" x14ac:dyDescent="0.25">
      <c r="A14" s="9" t="s">
        <v>605</v>
      </c>
      <c r="B14" s="10" t="s">
        <v>541</v>
      </c>
      <c r="C14" s="10" t="s">
        <v>593</v>
      </c>
      <c r="D14" s="10" t="s">
        <v>606</v>
      </c>
      <c r="E14" s="11" t="s">
        <v>93</v>
      </c>
      <c r="F14" s="13" t="s">
        <v>124</v>
      </c>
      <c r="G14" s="10" t="s">
        <v>607</v>
      </c>
      <c r="H14" s="10" t="s">
        <v>608</v>
      </c>
      <c r="I14" s="10" t="s">
        <v>139</v>
      </c>
      <c r="J14" s="10" t="s">
        <v>609</v>
      </c>
      <c r="K14" s="10" t="s">
        <v>16</v>
      </c>
      <c r="L14" s="13" t="s">
        <v>90</v>
      </c>
      <c r="M14" s="10" t="s">
        <v>16</v>
      </c>
      <c r="N14" s="14" t="s">
        <v>16</v>
      </c>
      <c r="O14" s="10" t="s">
        <v>16</v>
      </c>
    </row>
    <row r="15" ht="46" customHeight="1" spans="1:15" x14ac:dyDescent="0.25">
      <c r="A15" s="15" t="s">
        <v>610</v>
      </c>
      <c r="B15" s="16" t="s">
        <v>541</v>
      </c>
      <c r="C15" s="16" t="s">
        <v>611</v>
      </c>
      <c r="D15" s="16" t="s">
        <v>612</v>
      </c>
      <c r="E15" s="17" t="s">
        <v>93</v>
      </c>
      <c r="F15" s="18" t="s">
        <v>85</v>
      </c>
      <c r="G15" s="16" t="s">
        <v>613</v>
      </c>
      <c r="H15" s="16" t="s">
        <v>614</v>
      </c>
      <c r="I15" s="16" t="s">
        <v>615</v>
      </c>
      <c r="J15" s="16" t="s">
        <v>616</v>
      </c>
      <c r="K15" s="16" t="s">
        <v>16</v>
      </c>
      <c r="L15" s="19" t="s">
        <v>90</v>
      </c>
      <c r="M15" s="16" t="s">
        <v>16</v>
      </c>
      <c r="N15" s="20" t="s">
        <v>16</v>
      </c>
      <c r="O15" s="16" t="s">
        <v>16</v>
      </c>
    </row>
    <row r="16" ht="46" customHeight="1" spans="1:15" x14ac:dyDescent="0.25">
      <c r="A16" s="9" t="s">
        <v>617</v>
      </c>
      <c r="B16" s="10" t="s">
        <v>541</v>
      </c>
      <c r="C16" s="10" t="s">
        <v>611</v>
      </c>
      <c r="D16" s="10" t="s">
        <v>618</v>
      </c>
      <c r="E16" s="11" t="s">
        <v>93</v>
      </c>
      <c r="F16" s="13" t="s">
        <v>124</v>
      </c>
      <c r="G16" s="10" t="s">
        <v>619</v>
      </c>
      <c r="H16" s="10" t="s">
        <v>620</v>
      </c>
      <c r="I16" s="10" t="s">
        <v>615</v>
      </c>
      <c r="J16" s="10" t="s">
        <v>621</v>
      </c>
      <c r="K16" s="10" t="s">
        <v>16</v>
      </c>
      <c r="L16" s="13" t="s">
        <v>90</v>
      </c>
      <c r="M16" s="10" t="s">
        <v>16</v>
      </c>
      <c r="N16" s="14" t="s">
        <v>16</v>
      </c>
      <c r="O16" s="10" t="s">
        <v>16</v>
      </c>
    </row>
    <row r="17" ht="46" customHeight="1" spans="1:15" x14ac:dyDescent="0.25">
      <c r="A17" s="15" t="s">
        <v>622</v>
      </c>
      <c r="B17" s="16" t="s">
        <v>541</v>
      </c>
      <c r="C17" s="16" t="s">
        <v>623</v>
      </c>
      <c r="D17" s="16" t="s">
        <v>624</v>
      </c>
      <c r="E17" s="17" t="s">
        <v>93</v>
      </c>
      <c r="F17" s="19" t="s">
        <v>124</v>
      </c>
      <c r="G17" s="16" t="s">
        <v>625</v>
      </c>
      <c r="H17" s="16" t="s">
        <v>626</v>
      </c>
      <c r="I17" s="16" t="s">
        <v>627</v>
      </c>
      <c r="J17" s="16" t="s">
        <v>628</v>
      </c>
      <c r="K17" s="16" t="s">
        <v>16</v>
      </c>
      <c r="L17" s="19" t="s">
        <v>90</v>
      </c>
      <c r="M17" s="16" t="s">
        <v>16</v>
      </c>
      <c r="N17" s="20" t="s">
        <v>16</v>
      </c>
      <c r="O17" s="16" t="s">
        <v>16</v>
      </c>
    </row>
    <row r="18" ht="46" customHeight="1" spans="1:15" x14ac:dyDescent="0.25">
      <c r="A18" s="9" t="s">
        <v>629</v>
      </c>
      <c r="B18" s="10" t="s">
        <v>541</v>
      </c>
      <c r="C18" s="10" t="s">
        <v>630</v>
      </c>
      <c r="D18" s="10" t="s">
        <v>631</v>
      </c>
      <c r="E18" s="11" t="s">
        <v>150</v>
      </c>
      <c r="F18" s="12" t="s">
        <v>85</v>
      </c>
      <c r="G18" s="10" t="s">
        <v>632</v>
      </c>
      <c r="H18" s="10" t="s">
        <v>633</v>
      </c>
      <c r="I18" s="10" t="s">
        <v>634</v>
      </c>
      <c r="J18" s="10" t="s">
        <v>635</v>
      </c>
      <c r="K18" s="10" t="s">
        <v>16</v>
      </c>
      <c r="L18" s="13" t="s">
        <v>90</v>
      </c>
      <c r="M18" s="10" t="s">
        <v>16</v>
      </c>
      <c r="N18" s="14" t="s">
        <v>16</v>
      </c>
      <c r="O18" s="10" t="s">
        <v>16</v>
      </c>
    </row>
    <row r="19" ht="46" customHeight="1" spans="1:15" x14ac:dyDescent="0.25">
      <c r="A19" s="15" t="s">
        <v>636</v>
      </c>
      <c r="B19" s="16" t="s">
        <v>541</v>
      </c>
      <c r="C19" s="16" t="s">
        <v>637</v>
      </c>
      <c r="D19" s="16" t="s">
        <v>638</v>
      </c>
      <c r="E19" s="17" t="s">
        <v>84</v>
      </c>
      <c r="F19" s="18" t="s">
        <v>85</v>
      </c>
      <c r="G19" s="16" t="s">
        <v>639</v>
      </c>
      <c r="H19" s="16" t="s">
        <v>640</v>
      </c>
      <c r="I19" s="16" t="s">
        <v>139</v>
      </c>
      <c r="J19" s="16" t="s">
        <v>641</v>
      </c>
      <c r="K19" s="16" t="s">
        <v>16</v>
      </c>
      <c r="L19" s="19" t="s">
        <v>90</v>
      </c>
      <c r="M19" s="16" t="s">
        <v>16</v>
      </c>
      <c r="N19" s="20" t="s">
        <v>16</v>
      </c>
      <c r="O19" s="16" t="s">
        <v>16</v>
      </c>
    </row>
    <row r="20" ht="46" customHeight="1" spans="1:15" x14ac:dyDescent="0.25">
      <c r="A20" s="9" t="s">
        <v>642</v>
      </c>
      <c r="B20" s="10" t="s">
        <v>541</v>
      </c>
      <c r="C20" s="10" t="s">
        <v>643</v>
      </c>
      <c r="D20" s="10" t="s">
        <v>644</v>
      </c>
      <c r="E20" s="11" t="s">
        <v>93</v>
      </c>
      <c r="F20" s="12" t="s">
        <v>85</v>
      </c>
      <c r="G20" s="10" t="s">
        <v>645</v>
      </c>
      <c r="H20" s="10" t="s">
        <v>646</v>
      </c>
      <c r="I20" s="10" t="s">
        <v>647</v>
      </c>
      <c r="J20" s="10" t="s">
        <v>648</v>
      </c>
      <c r="K20" s="10" t="s">
        <v>16</v>
      </c>
      <c r="L20" s="13" t="s">
        <v>90</v>
      </c>
      <c r="M20" s="10" t="s">
        <v>16</v>
      </c>
      <c r="N20" s="14" t="s">
        <v>16</v>
      </c>
      <c r="O20" s="10" t="s">
        <v>16</v>
      </c>
    </row>
    <row r="21" ht="46" customHeight="1" spans="1:15" x14ac:dyDescent="0.25">
      <c r="A21" s="15" t="s">
        <v>649</v>
      </c>
      <c r="B21" s="16" t="s">
        <v>541</v>
      </c>
      <c r="C21" s="16" t="s">
        <v>650</v>
      </c>
      <c r="D21" s="16" t="s">
        <v>651</v>
      </c>
      <c r="E21" s="17" t="s">
        <v>93</v>
      </c>
      <c r="F21" s="18" t="s">
        <v>85</v>
      </c>
      <c r="G21" s="16" t="s">
        <v>652</v>
      </c>
      <c r="H21" s="16" t="s">
        <v>653</v>
      </c>
      <c r="I21" s="16" t="s">
        <v>654</v>
      </c>
      <c r="J21" s="16" t="s">
        <v>655</v>
      </c>
      <c r="K21" s="16" t="s">
        <v>16</v>
      </c>
      <c r="L21" s="19" t="s">
        <v>90</v>
      </c>
      <c r="M21" s="16" t="s">
        <v>16</v>
      </c>
      <c r="N21" s="20" t="s">
        <v>16</v>
      </c>
      <c r="O21" s="16" t="s">
        <v>16</v>
      </c>
    </row>
    <row r="22" ht="46" customHeight="1" spans="1:15" x14ac:dyDescent="0.25">
      <c r="A22" s="9" t="s">
        <v>656</v>
      </c>
      <c r="B22" s="10" t="s">
        <v>541</v>
      </c>
      <c r="C22" s="10" t="s">
        <v>657</v>
      </c>
      <c r="D22" s="10" t="s">
        <v>658</v>
      </c>
      <c r="E22" s="11" t="s">
        <v>311</v>
      </c>
      <c r="F22" s="12" t="s">
        <v>85</v>
      </c>
      <c r="G22" s="10" t="s">
        <v>659</v>
      </c>
      <c r="H22" s="10" t="s">
        <v>660</v>
      </c>
      <c r="I22" s="10" t="s">
        <v>139</v>
      </c>
      <c r="J22" s="10" t="s">
        <v>661</v>
      </c>
      <c r="K22" s="10" t="s">
        <v>16</v>
      </c>
      <c r="L22" s="13" t="s">
        <v>90</v>
      </c>
      <c r="M22" s="10" t="s">
        <v>16</v>
      </c>
      <c r="N22" s="14" t="s">
        <v>16</v>
      </c>
      <c r="O22" s="10" t="s">
        <v>16</v>
      </c>
    </row>
    <row r="23" ht="46" customHeight="1" spans="1:15" x14ac:dyDescent="0.25">
      <c r="A23" s="15" t="s">
        <v>662</v>
      </c>
      <c r="B23" s="16" t="s">
        <v>541</v>
      </c>
      <c r="C23" s="16" t="s">
        <v>657</v>
      </c>
      <c r="D23" s="16" t="s">
        <v>663</v>
      </c>
      <c r="E23" s="17" t="s">
        <v>150</v>
      </c>
      <c r="F23" s="18" t="s">
        <v>85</v>
      </c>
      <c r="G23" s="16" t="s">
        <v>664</v>
      </c>
      <c r="H23" s="16" t="s">
        <v>665</v>
      </c>
      <c r="I23" s="16" t="s">
        <v>666</v>
      </c>
      <c r="J23" s="16" t="s">
        <v>667</v>
      </c>
      <c r="K23" s="16" t="s">
        <v>16</v>
      </c>
      <c r="L23" s="19" t="s">
        <v>90</v>
      </c>
      <c r="M23" s="16" t="s">
        <v>16</v>
      </c>
      <c r="N23" s="20" t="s">
        <v>16</v>
      </c>
      <c r="O23" s="16" t="s">
        <v>16</v>
      </c>
    </row>
    <row r="24" ht="46" customHeight="1" spans="1:15" x14ac:dyDescent="0.25">
      <c r="A24" s="9" t="s">
        <v>668</v>
      </c>
      <c r="B24" s="10" t="s">
        <v>541</v>
      </c>
      <c r="C24" s="10" t="s">
        <v>657</v>
      </c>
      <c r="D24" s="10" t="s">
        <v>669</v>
      </c>
      <c r="E24" s="11" t="s">
        <v>93</v>
      </c>
      <c r="F24" s="12" t="s">
        <v>85</v>
      </c>
      <c r="G24" s="10" t="s">
        <v>670</v>
      </c>
      <c r="H24" s="10" t="s">
        <v>671</v>
      </c>
      <c r="I24" s="10" t="s">
        <v>139</v>
      </c>
      <c r="J24" s="10" t="s">
        <v>672</v>
      </c>
      <c r="K24" s="10" t="s">
        <v>16</v>
      </c>
      <c r="L24" s="13" t="s">
        <v>90</v>
      </c>
      <c r="M24" s="10" t="s">
        <v>16</v>
      </c>
      <c r="N24" s="14" t="s">
        <v>16</v>
      </c>
      <c r="O24" s="10" t="s">
        <v>16</v>
      </c>
    </row>
    <row r="25" ht="56" customHeight="1" spans="1:15" x14ac:dyDescent="0.25">
      <c r="A25" s="15" t="s">
        <v>673</v>
      </c>
      <c r="B25" s="16" t="s">
        <v>541</v>
      </c>
      <c r="C25" s="16" t="s">
        <v>674</v>
      </c>
      <c r="D25" s="16" t="s">
        <v>675</v>
      </c>
      <c r="E25" s="17" t="s">
        <v>311</v>
      </c>
      <c r="F25" s="18" t="s">
        <v>85</v>
      </c>
      <c r="G25" s="16" t="s">
        <v>676</v>
      </c>
      <c r="H25" s="16" t="s">
        <v>677</v>
      </c>
      <c r="I25" s="16" t="s">
        <v>139</v>
      </c>
      <c r="J25" s="16" t="s">
        <v>678</v>
      </c>
      <c r="K25" s="16" t="s">
        <v>16</v>
      </c>
      <c r="L25" s="19" t="s">
        <v>90</v>
      </c>
      <c r="M25" s="16" t="s">
        <v>16</v>
      </c>
      <c r="N25" s="20" t="s">
        <v>16</v>
      </c>
      <c r="O25" s="16" t="s">
        <v>16</v>
      </c>
    </row>
    <row r="26" ht="46" customHeight="1" spans="1:15" x14ac:dyDescent="0.25">
      <c r="A26" s="9" t="s">
        <v>679</v>
      </c>
      <c r="B26" s="10" t="s">
        <v>541</v>
      </c>
      <c r="C26" s="10" t="s">
        <v>674</v>
      </c>
      <c r="D26" s="10" t="s">
        <v>680</v>
      </c>
      <c r="E26" s="11" t="s">
        <v>93</v>
      </c>
      <c r="F26" s="13" t="s">
        <v>124</v>
      </c>
      <c r="G26" s="10" t="s">
        <v>681</v>
      </c>
      <c r="H26" s="10" t="s">
        <v>682</v>
      </c>
      <c r="I26" s="10" t="s">
        <v>139</v>
      </c>
      <c r="J26" s="10" t="s">
        <v>683</v>
      </c>
      <c r="K26" s="10" t="s">
        <v>16</v>
      </c>
      <c r="L26" s="13" t="s">
        <v>90</v>
      </c>
      <c r="M26" s="10" t="s">
        <v>16</v>
      </c>
      <c r="N26" s="14" t="s">
        <v>16</v>
      </c>
      <c r="O26" s="10" t="s">
        <v>16</v>
      </c>
    </row>
    <row r="27" ht="46" customHeight="1" spans="1:15" x14ac:dyDescent="0.25">
      <c r="A27" s="15" t="s">
        <v>684</v>
      </c>
      <c r="B27" s="16" t="s">
        <v>541</v>
      </c>
      <c r="C27" s="16" t="s">
        <v>685</v>
      </c>
      <c r="D27" s="16" t="s">
        <v>686</v>
      </c>
      <c r="E27" s="17" t="s">
        <v>84</v>
      </c>
      <c r="F27" s="18" t="s">
        <v>85</v>
      </c>
      <c r="G27" s="16" t="s">
        <v>687</v>
      </c>
      <c r="H27" s="16" t="s">
        <v>688</v>
      </c>
      <c r="I27" s="16" t="s">
        <v>139</v>
      </c>
      <c r="J27" s="16" t="s">
        <v>689</v>
      </c>
      <c r="K27" s="16" t="s">
        <v>16</v>
      </c>
      <c r="L27" s="19" t="s">
        <v>90</v>
      </c>
      <c r="M27" s="16" t="s">
        <v>16</v>
      </c>
      <c r="N27" s="20" t="s">
        <v>16</v>
      </c>
      <c r="O27" s="16" t="s">
        <v>16</v>
      </c>
    </row>
    <row r="28" ht="46" customHeight="1" spans="1:15" x14ac:dyDescent="0.25">
      <c r="A28" s="9" t="s">
        <v>690</v>
      </c>
      <c r="B28" s="10" t="s">
        <v>541</v>
      </c>
      <c r="C28" s="10" t="s">
        <v>691</v>
      </c>
      <c r="D28" s="10" t="s">
        <v>692</v>
      </c>
      <c r="E28" s="11" t="s">
        <v>311</v>
      </c>
      <c r="F28" s="12" t="s">
        <v>85</v>
      </c>
      <c r="G28" s="10" t="s">
        <v>693</v>
      </c>
      <c r="H28" s="10" t="s">
        <v>694</v>
      </c>
      <c r="I28" s="10" t="s">
        <v>695</v>
      </c>
      <c r="J28" s="10" t="s">
        <v>696</v>
      </c>
      <c r="K28" s="10" t="s">
        <v>16</v>
      </c>
      <c r="L28" s="13" t="s">
        <v>90</v>
      </c>
      <c r="M28" s="10" t="s">
        <v>16</v>
      </c>
      <c r="N28" s="14" t="s">
        <v>16</v>
      </c>
      <c r="O28" s="10" t="s">
        <v>16</v>
      </c>
    </row>
    <row r="29" ht="46" customHeight="1" spans="1:15" x14ac:dyDescent="0.25">
      <c r="A29" s="15" t="s">
        <v>697</v>
      </c>
      <c r="B29" s="16" t="s">
        <v>541</v>
      </c>
      <c r="C29" s="16" t="s">
        <v>698</v>
      </c>
      <c r="D29" s="16" t="s">
        <v>699</v>
      </c>
      <c r="E29" s="17" t="s">
        <v>150</v>
      </c>
      <c r="F29" s="18" t="s">
        <v>85</v>
      </c>
      <c r="G29" s="16" t="s">
        <v>700</v>
      </c>
      <c r="H29" s="16" t="s">
        <v>701</v>
      </c>
      <c r="I29" s="16" t="s">
        <v>702</v>
      </c>
      <c r="J29" s="16" t="s">
        <v>703</v>
      </c>
      <c r="K29" s="16" t="s">
        <v>16</v>
      </c>
      <c r="L29" s="19" t="s">
        <v>90</v>
      </c>
      <c r="M29" s="16" t="s">
        <v>16</v>
      </c>
      <c r="N29" s="20" t="s">
        <v>16</v>
      </c>
      <c r="O29" s="16" t="s">
        <v>16</v>
      </c>
    </row>
    <row r="30" ht="46" customHeight="1" spans="1:15" x14ac:dyDescent="0.25">
      <c r="A30" s="9" t="s">
        <v>704</v>
      </c>
      <c r="B30" s="10" t="s">
        <v>541</v>
      </c>
      <c r="C30" s="10" t="s">
        <v>705</v>
      </c>
      <c r="D30" s="10" t="s">
        <v>706</v>
      </c>
      <c r="E30" s="11" t="s">
        <v>93</v>
      </c>
      <c r="F30" s="12" t="s">
        <v>85</v>
      </c>
      <c r="G30" s="10" t="s">
        <v>707</v>
      </c>
      <c r="H30" s="10" t="s">
        <v>708</v>
      </c>
      <c r="I30" s="10" t="s">
        <v>139</v>
      </c>
      <c r="J30" s="10" t="s">
        <v>709</v>
      </c>
      <c r="K30" s="10" t="s">
        <v>16</v>
      </c>
      <c r="L30" s="13" t="s">
        <v>90</v>
      </c>
      <c r="M30" s="10" t="s">
        <v>16</v>
      </c>
      <c r="N30" s="14" t="s">
        <v>16</v>
      </c>
      <c r="O30" s="10" t="s">
        <v>16</v>
      </c>
    </row>
  </sheetData>
  <autoFilter ref="A3:O30"/>
  <mergeCells count="2">
    <mergeCell ref="A1:O1"/>
    <mergeCell ref="A2:O2"/>
  </mergeCells>
  <conditionalFormatting sqref="L4:L30">
    <cfRule type="containsText" dxfId="9" priority="1">
      <formula>NOT(ISERROR(SEARCH("Pass",L4)))</formula>
    </cfRule>
    <cfRule type="containsText" dxfId="10" priority="2">
      <formula>NOT(ISERROR(SEARCH("Fail",L4)))</formula>
    </cfRule>
    <cfRule type="containsText" dxfId="11" priority="3">
      <formula>NOT(ISERROR(SEARCH("Blocked",L4)))</formula>
    </cfRule>
  </conditionalFormatting>
  <dataValidations count="2">
    <dataValidation type="list" showErrorMessage="1" errorTitle="Invalid status" error="Choose: Not Executed, Pass, Fail, Blocked or N/A" sqref="L10:L30">
      <formula1>"Not Executed,Pass,Fail,Blocked,N/A"</formula1>
    </dataValidation>
    <dataValidation type="list" showErrorMessage="1" errorTitle="Invalid status" error="Choose: Not Executed, Pass, Fail, Blocked or N/A" sqref="L4:L30">
      <formula1>"Not Executed,Pass,Fail,Blocked,N/A"</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8"/>
  <sheetViews>
    <sheetView workbookViewId="0" zoomScale="90">
      <pane xSplit="1" ySplit="3" topLeftCell="B4" activePane="bottomRight" state="frozen"/>
      <selection pane="bottomRight"/>
    </sheetView>
  </sheetViews>
  <sheetFormatPr defaultRowHeight="15" outlineLevelRow="0" outlineLevelCol="0" x14ac:dyDescent="55"/>
  <cols>
    <col min="1" max="1" width="12" customWidth="1"/>
    <col min="2" max="2" width="20" customWidth="1"/>
    <col min="3" max="3" width="22" customWidth="1"/>
    <col min="4" max="4" width="46" customWidth="1"/>
    <col min="5" max="5" width="14" customWidth="1"/>
    <col min="6" max="6" width="10" customWidth="1"/>
    <col min="7" max="7" width="38" customWidth="1"/>
    <col min="8" max="8" width="50" customWidth="1"/>
    <col min="9" max="9" width="26" customWidth="1"/>
    <col min="10" max="10" width="66" customWidth="1"/>
    <col min="11" max="11" width="30" customWidth="1"/>
    <col min="12" max="14" width="14" customWidth="1"/>
    <col min="15" max="15" width="26" customWidth="1"/>
  </cols>
  <sheetData>
    <row r="1" ht="28" customHeight="1" spans="1:15" x14ac:dyDescent="0.25">
      <c r="A1" s="6" t="s">
        <v>710</v>
      </c>
      <c r="B1" s="6"/>
      <c r="C1" s="6"/>
      <c r="D1" s="6"/>
      <c r="E1" s="6"/>
      <c r="F1" s="6"/>
      <c r="G1" s="6"/>
      <c r="H1" s="6"/>
      <c r="I1" s="6"/>
      <c r="J1" s="6"/>
      <c r="K1" s="6"/>
      <c r="L1" s="6"/>
      <c r="M1" s="6"/>
      <c r="N1" s="6"/>
      <c r="O1" s="6"/>
    </row>
    <row r="2" ht="20" customHeight="1" spans="1:15" x14ac:dyDescent="0.25">
      <c r="A2" s="7" t="s">
        <v>711</v>
      </c>
      <c r="B2" s="7"/>
      <c r="C2" s="7"/>
      <c r="D2" s="7"/>
      <c r="E2" s="7"/>
      <c r="F2" s="7"/>
      <c r="G2" s="7"/>
      <c r="H2" s="7"/>
      <c r="I2" s="7"/>
      <c r="J2" s="7"/>
      <c r="K2" s="7"/>
      <c r="L2" s="7"/>
      <c r="M2" s="7"/>
      <c r="N2" s="7"/>
      <c r="O2" s="7"/>
    </row>
    <row r="3" ht="30" customHeight="1" spans="1:15" x14ac:dyDescent="0.25">
      <c r="A3" s="8" t="s">
        <v>65</v>
      </c>
      <c r="B3" s="8" t="s">
        <v>66</v>
      </c>
      <c r="C3" s="8" t="s">
        <v>67</v>
      </c>
      <c r="D3" s="8" t="s">
        <v>68</v>
      </c>
      <c r="E3" s="8" t="s">
        <v>69</v>
      </c>
      <c r="F3" s="8" t="s">
        <v>70</v>
      </c>
      <c r="G3" s="8" t="s">
        <v>71</v>
      </c>
      <c r="H3" s="8" t="s">
        <v>72</v>
      </c>
      <c r="I3" s="8" t="s">
        <v>73</v>
      </c>
      <c r="J3" s="8" t="s">
        <v>74</v>
      </c>
      <c r="K3" s="8" t="s">
        <v>75</v>
      </c>
      <c r="L3" s="8" t="s">
        <v>76</v>
      </c>
      <c r="M3" s="8" t="s">
        <v>77</v>
      </c>
      <c r="N3" s="8" t="s">
        <v>78</v>
      </c>
      <c r="O3" s="8" t="s">
        <v>79</v>
      </c>
    </row>
    <row r="4" ht="56" customHeight="1" spans="1:15" x14ac:dyDescent="0.25">
      <c r="A4" s="9" t="s">
        <v>712</v>
      </c>
      <c r="B4" s="10" t="s">
        <v>713</v>
      </c>
      <c r="C4" s="10" t="s">
        <v>714</v>
      </c>
      <c r="D4" s="10" t="s">
        <v>715</v>
      </c>
      <c r="E4" s="11" t="s">
        <v>84</v>
      </c>
      <c r="F4" s="12" t="s">
        <v>85</v>
      </c>
      <c r="G4" s="10" t="s">
        <v>716</v>
      </c>
      <c r="H4" s="10" t="s">
        <v>717</v>
      </c>
      <c r="I4" s="10" t="s">
        <v>718</v>
      </c>
      <c r="J4" s="10" t="s">
        <v>719</v>
      </c>
      <c r="K4" s="10" t="s">
        <v>16</v>
      </c>
      <c r="L4" s="13" t="s">
        <v>90</v>
      </c>
      <c r="M4" s="10" t="s">
        <v>16</v>
      </c>
      <c r="N4" s="14" t="s">
        <v>16</v>
      </c>
      <c r="O4" s="10" t="s">
        <v>16</v>
      </c>
    </row>
    <row r="5" ht="46" customHeight="1" spans="1:15" x14ac:dyDescent="0.25">
      <c r="A5" s="15" t="s">
        <v>720</v>
      </c>
      <c r="B5" s="16" t="s">
        <v>713</v>
      </c>
      <c r="C5" s="16" t="s">
        <v>714</v>
      </c>
      <c r="D5" s="16" t="s">
        <v>721</v>
      </c>
      <c r="E5" s="17" t="s">
        <v>84</v>
      </c>
      <c r="F5" s="18" t="s">
        <v>85</v>
      </c>
      <c r="G5" s="16" t="s">
        <v>722</v>
      </c>
      <c r="H5" s="16" t="s">
        <v>723</v>
      </c>
      <c r="I5" s="16" t="s">
        <v>724</v>
      </c>
      <c r="J5" s="16" t="s">
        <v>725</v>
      </c>
      <c r="K5" s="16" t="s">
        <v>16</v>
      </c>
      <c r="L5" s="19" t="s">
        <v>90</v>
      </c>
      <c r="M5" s="16" t="s">
        <v>16</v>
      </c>
      <c r="N5" s="20" t="s">
        <v>16</v>
      </c>
      <c r="O5" s="16" t="s">
        <v>16</v>
      </c>
    </row>
    <row r="6" ht="46" customHeight="1" spans="1:15" x14ac:dyDescent="0.25">
      <c r="A6" s="9" t="s">
        <v>726</v>
      </c>
      <c r="B6" s="10" t="s">
        <v>713</v>
      </c>
      <c r="C6" s="10" t="s">
        <v>714</v>
      </c>
      <c r="D6" s="10" t="s">
        <v>727</v>
      </c>
      <c r="E6" s="11" t="s">
        <v>84</v>
      </c>
      <c r="F6" s="12" t="s">
        <v>85</v>
      </c>
      <c r="G6" s="10" t="s">
        <v>728</v>
      </c>
      <c r="H6" s="10" t="s">
        <v>729</v>
      </c>
      <c r="I6" s="10" t="s">
        <v>730</v>
      </c>
      <c r="J6" s="10" t="s">
        <v>731</v>
      </c>
      <c r="K6" s="10" t="s">
        <v>16</v>
      </c>
      <c r="L6" s="13" t="s">
        <v>90</v>
      </c>
      <c r="M6" s="10" t="s">
        <v>16</v>
      </c>
      <c r="N6" s="14" t="s">
        <v>16</v>
      </c>
      <c r="O6" s="10" t="s">
        <v>16</v>
      </c>
    </row>
    <row r="7" ht="46" customHeight="1" spans="1:15" x14ac:dyDescent="0.25">
      <c r="A7" s="15" t="s">
        <v>732</v>
      </c>
      <c r="B7" s="16" t="s">
        <v>713</v>
      </c>
      <c r="C7" s="16" t="s">
        <v>733</v>
      </c>
      <c r="D7" s="16" t="s">
        <v>734</v>
      </c>
      <c r="E7" s="17" t="s">
        <v>93</v>
      </c>
      <c r="F7" s="18" t="s">
        <v>85</v>
      </c>
      <c r="G7" s="16" t="s">
        <v>735</v>
      </c>
      <c r="H7" s="16" t="s">
        <v>736</v>
      </c>
      <c r="I7" s="16" t="s">
        <v>139</v>
      </c>
      <c r="J7" s="16" t="s">
        <v>737</v>
      </c>
      <c r="K7" s="16" t="s">
        <v>16</v>
      </c>
      <c r="L7" s="19" t="s">
        <v>90</v>
      </c>
      <c r="M7" s="16" t="s">
        <v>16</v>
      </c>
      <c r="N7" s="20" t="s">
        <v>16</v>
      </c>
      <c r="O7" s="16" t="s">
        <v>16</v>
      </c>
    </row>
    <row r="8" ht="56" customHeight="1" spans="1:15" x14ac:dyDescent="0.25">
      <c r="A8" s="9" t="s">
        <v>738</v>
      </c>
      <c r="B8" s="10" t="s">
        <v>713</v>
      </c>
      <c r="C8" s="10" t="s">
        <v>733</v>
      </c>
      <c r="D8" s="10" t="s">
        <v>739</v>
      </c>
      <c r="E8" s="11" t="s">
        <v>84</v>
      </c>
      <c r="F8" s="12" t="s">
        <v>85</v>
      </c>
      <c r="G8" s="10" t="s">
        <v>740</v>
      </c>
      <c r="H8" s="10" t="s">
        <v>741</v>
      </c>
      <c r="I8" s="10" t="s">
        <v>217</v>
      </c>
      <c r="J8" s="10" t="s">
        <v>742</v>
      </c>
      <c r="K8" s="10" t="s">
        <v>16</v>
      </c>
      <c r="L8" s="13" t="s">
        <v>90</v>
      </c>
      <c r="M8" s="10" t="s">
        <v>16</v>
      </c>
      <c r="N8" s="14" t="s">
        <v>16</v>
      </c>
      <c r="O8" s="10" t="s">
        <v>16</v>
      </c>
    </row>
    <row r="9" ht="46" customHeight="1" spans="1:15" x14ac:dyDescent="0.25">
      <c r="A9" s="15" t="s">
        <v>743</v>
      </c>
      <c r="B9" s="16" t="s">
        <v>713</v>
      </c>
      <c r="C9" s="16" t="s">
        <v>733</v>
      </c>
      <c r="D9" s="16" t="s">
        <v>744</v>
      </c>
      <c r="E9" s="17" t="s">
        <v>84</v>
      </c>
      <c r="F9" s="18" t="s">
        <v>85</v>
      </c>
      <c r="G9" s="16" t="s">
        <v>745</v>
      </c>
      <c r="H9" s="16" t="s">
        <v>746</v>
      </c>
      <c r="I9" s="16" t="s">
        <v>139</v>
      </c>
      <c r="J9" s="16" t="s">
        <v>747</v>
      </c>
      <c r="K9" s="16" t="s">
        <v>16</v>
      </c>
      <c r="L9" s="19" t="s">
        <v>90</v>
      </c>
      <c r="M9" s="16" t="s">
        <v>16</v>
      </c>
      <c r="N9" s="20" t="s">
        <v>16</v>
      </c>
      <c r="O9" s="16" t="s">
        <v>16</v>
      </c>
    </row>
    <row r="10" ht="46" customHeight="1" spans="1:15" x14ac:dyDescent="0.25">
      <c r="A10" s="9" t="s">
        <v>748</v>
      </c>
      <c r="B10" s="10" t="s">
        <v>713</v>
      </c>
      <c r="C10" s="10" t="s">
        <v>733</v>
      </c>
      <c r="D10" s="10" t="s">
        <v>749</v>
      </c>
      <c r="E10" s="11" t="s">
        <v>93</v>
      </c>
      <c r="F10" s="12" t="s">
        <v>85</v>
      </c>
      <c r="G10" s="10" t="s">
        <v>750</v>
      </c>
      <c r="H10" s="10" t="s">
        <v>751</v>
      </c>
      <c r="I10" s="10" t="s">
        <v>139</v>
      </c>
      <c r="J10" s="10" t="s">
        <v>752</v>
      </c>
      <c r="K10" s="10" t="s">
        <v>16</v>
      </c>
      <c r="L10" s="13" t="s">
        <v>90</v>
      </c>
      <c r="M10" s="10" t="s">
        <v>16</v>
      </c>
      <c r="N10" s="14" t="s">
        <v>16</v>
      </c>
      <c r="O10" s="10" t="s">
        <v>16</v>
      </c>
    </row>
    <row r="11" ht="46" customHeight="1" spans="1:15" x14ac:dyDescent="0.25">
      <c r="A11" s="15" t="s">
        <v>753</v>
      </c>
      <c r="B11" s="16" t="s">
        <v>713</v>
      </c>
      <c r="C11" s="16" t="s">
        <v>733</v>
      </c>
      <c r="D11" s="16" t="s">
        <v>754</v>
      </c>
      <c r="E11" s="17" t="s">
        <v>84</v>
      </c>
      <c r="F11" s="18" t="s">
        <v>85</v>
      </c>
      <c r="G11" s="16" t="s">
        <v>755</v>
      </c>
      <c r="H11" s="16" t="s">
        <v>756</v>
      </c>
      <c r="I11" s="16" t="s">
        <v>139</v>
      </c>
      <c r="J11" s="16" t="s">
        <v>757</v>
      </c>
      <c r="K11" s="16" t="s">
        <v>16</v>
      </c>
      <c r="L11" s="19" t="s">
        <v>90</v>
      </c>
      <c r="M11" s="16" t="s">
        <v>16</v>
      </c>
      <c r="N11" s="20" t="s">
        <v>16</v>
      </c>
      <c r="O11" s="16" t="s">
        <v>16</v>
      </c>
    </row>
    <row r="12" ht="46" customHeight="1" spans="1:15" x14ac:dyDescent="0.25">
      <c r="A12" s="9" t="s">
        <v>758</v>
      </c>
      <c r="B12" s="10" t="s">
        <v>713</v>
      </c>
      <c r="C12" s="10" t="s">
        <v>759</v>
      </c>
      <c r="D12" s="10" t="s">
        <v>760</v>
      </c>
      <c r="E12" s="11" t="s">
        <v>84</v>
      </c>
      <c r="F12" s="12" t="s">
        <v>85</v>
      </c>
      <c r="G12" s="10" t="s">
        <v>761</v>
      </c>
      <c r="H12" s="10" t="s">
        <v>762</v>
      </c>
      <c r="I12" s="10" t="s">
        <v>139</v>
      </c>
      <c r="J12" s="10" t="s">
        <v>763</v>
      </c>
      <c r="K12" s="10" t="s">
        <v>16</v>
      </c>
      <c r="L12" s="13" t="s">
        <v>90</v>
      </c>
      <c r="M12" s="10" t="s">
        <v>16</v>
      </c>
      <c r="N12" s="14" t="s">
        <v>16</v>
      </c>
      <c r="O12" s="10" t="s">
        <v>16</v>
      </c>
    </row>
    <row r="13" ht="46" customHeight="1" spans="1:15" x14ac:dyDescent="0.25">
      <c r="A13" s="15" t="s">
        <v>764</v>
      </c>
      <c r="B13" s="16" t="s">
        <v>713</v>
      </c>
      <c r="C13" s="16" t="s">
        <v>759</v>
      </c>
      <c r="D13" s="16" t="s">
        <v>765</v>
      </c>
      <c r="E13" s="17" t="s">
        <v>93</v>
      </c>
      <c r="F13" s="19" t="s">
        <v>124</v>
      </c>
      <c r="G13" s="16" t="s">
        <v>766</v>
      </c>
      <c r="H13" s="16" t="s">
        <v>767</v>
      </c>
      <c r="I13" s="16" t="s">
        <v>768</v>
      </c>
      <c r="J13" s="16" t="s">
        <v>769</v>
      </c>
      <c r="K13" s="16" t="s">
        <v>16</v>
      </c>
      <c r="L13" s="19" t="s">
        <v>90</v>
      </c>
      <c r="M13" s="16" t="s">
        <v>16</v>
      </c>
      <c r="N13" s="20" t="s">
        <v>16</v>
      </c>
      <c r="O13" s="16" t="s">
        <v>16</v>
      </c>
    </row>
    <row r="14" ht="46" customHeight="1" spans="1:15" x14ac:dyDescent="0.25">
      <c r="A14" s="9" t="s">
        <v>770</v>
      </c>
      <c r="B14" s="10" t="s">
        <v>713</v>
      </c>
      <c r="C14" s="10" t="s">
        <v>759</v>
      </c>
      <c r="D14" s="10" t="s">
        <v>771</v>
      </c>
      <c r="E14" s="11" t="s">
        <v>93</v>
      </c>
      <c r="F14" s="13" t="s">
        <v>124</v>
      </c>
      <c r="G14" s="10" t="s">
        <v>772</v>
      </c>
      <c r="H14" s="10" t="s">
        <v>773</v>
      </c>
      <c r="I14" s="10" t="s">
        <v>139</v>
      </c>
      <c r="J14" s="10" t="s">
        <v>774</v>
      </c>
      <c r="K14" s="10" t="s">
        <v>16</v>
      </c>
      <c r="L14" s="13" t="s">
        <v>90</v>
      </c>
      <c r="M14" s="10" t="s">
        <v>16</v>
      </c>
      <c r="N14" s="14" t="s">
        <v>16</v>
      </c>
      <c r="O14" s="10" t="s">
        <v>16</v>
      </c>
    </row>
    <row r="15" ht="56" customHeight="1" spans="1:15" x14ac:dyDescent="0.25">
      <c r="A15" s="15" t="s">
        <v>775</v>
      </c>
      <c r="B15" s="16" t="s">
        <v>713</v>
      </c>
      <c r="C15" s="16" t="s">
        <v>685</v>
      </c>
      <c r="D15" s="16" t="s">
        <v>776</v>
      </c>
      <c r="E15" s="17" t="s">
        <v>84</v>
      </c>
      <c r="F15" s="18" t="s">
        <v>85</v>
      </c>
      <c r="G15" s="16" t="s">
        <v>777</v>
      </c>
      <c r="H15" s="16" t="s">
        <v>778</v>
      </c>
      <c r="I15" s="16" t="s">
        <v>139</v>
      </c>
      <c r="J15" s="16" t="s">
        <v>779</v>
      </c>
      <c r="K15" s="16" t="s">
        <v>16</v>
      </c>
      <c r="L15" s="19" t="s">
        <v>90</v>
      </c>
      <c r="M15" s="16" t="s">
        <v>16</v>
      </c>
      <c r="N15" s="20" t="s">
        <v>16</v>
      </c>
      <c r="O15" s="16" t="s">
        <v>16</v>
      </c>
    </row>
    <row r="16" ht="46" customHeight="1" spans="1:15" x14ac:dyDescent="0.25">
      <c r="A16" s="9" t="s">
        <v>780</v>
      </c>
      <c r="B16" s="10" t="s">
        <v>713</v>
      </c>
      <c r="C16" s="10" t="s">
        <v>781</v>
      </c>
      <c r="D16" s="10" t="s">
        <v>782</v>
      </c>
      <c r="E16" s="11" t="s">
        <v>84</v>
      </c>
      <c r="F16" s="12" t="s">
        <v>85</v>
      </c>
      <c r="G16" s="10" t="s">
        <v>783</v>
      </c>
      <c r="H16" s="10" t="s">
        <v>784</v>
      </c>
      <c r="I16" s="10" t="s">
        <v>785</v>
      </c>
      <c r="J16" s="10" t="s">
        <v>786</v>
      </c>
      <c r="K16" s="10" t="s">
        <v>16</v>
      </c>
      <c r="L16" s="13" t="s">
        <v>90</v>
      </c>
      <c r="M16" s="10" t="s">
        <v>16</v>
      </c>
      <c r="N16" s="14" t="s">
        <v>16</v>
      </c>
      <c r="O16" s="10" t="s">
        <v>16</v>
      </c>
    </row>
    <row r="17" ht="70" customHeight="1" spans="1:15" x14ac:dyDescent="0.25">
      <c r="A17" s="15" t="s">
        <v>787</v>
      </c>
      <c r="B17" s="16" t="s">
        <v>713</v>
      </c>
      <c r="C17" s="16" t="s">
        <v>788</v>
      </c>
      <c r="D17" s="16" t="s">
        <v>789</v>
      </c>
      <c r="E17" s="17" t="s">
        <v>93</v>
      </c>
      <c r="F17" s="18" t="s">
        <v>85</v>
      </c>
      <c r="G17" s="16" t="s">
        <v>790</v>
      </c>
      <c r="H17" s="16" t="s">
        <v>791</v>
      </c>
      <c r="I17" s="16" t="s">
        <v>792</v>
      </c>
      <c r="J17" s="16" t="s">
        <v>793</v>
      </c>
      <c r="K17" s="16" t="s">
        <v>16</v>
      </c>
      <c r="L17" s="19" t="s">
        <v>90</v>
      </c>
      <c r="M17" s="16" t="s">
        <v>16</v>
      </c>
      <c r="N17" s="20" t="s">
        <v>16</v>
      </c>
      <c r="O17" s="16" t="s">
        <v>16</v>
      </c>
    </row>
    <row r="18" ht="56" customHeight="1" spans="1:15" x14ac:dyDescent="0.25">
      <c r="A18" s="9" t="s">
        <v>794</v>
      </c>
      <c r="B18" s="10" t="s">
        <v>713</v>
      </c>
      <c r="C18" s="10" t="s">
        <v>795</v>
      </c>
      <c r="D18" s="10" t="s">
        <v>796</v>
      </c>
      <c r="E18" s="11" t="s">
        <v>311</v>
      </c>
      <c r="F18" s="12" t="s">
        <v>85</v>
      </c>
      <c r="G18" s="10" t="s">
        <v>797</v>
      </c>
      <c r="H18" s="10" t="s">
        <v>798</v>
      </c>
      <c r="I18" s="10" t="s">
        <v>799</v>
      </c>
      <c r="J18" s="10" t="s">
        <v>800</v>
      </c>
      <c r="K18" s="10" t="s">
        <v>16</v>
      </c>
      <c r="L18" s="13" t="s">
        <v>90</v>
      </c>
      <c r="M18" s="10" t="s">
        <v>16</v>
      </c>
      <c r="N18" s="14" t="s">
        <v>16</v>
      </c>
      <c r="O18" s="10" t="s">
        <v>16</v>
      </c>
    </row>
  </sheetData>
  <autoFilter ref="A3:O18"/>
  <mergeCells count="2">
    <mergeCell ref="A1:O1"/>
    <mergeCell ref="A2:O2"/>
  </mergeCells>
  <conditionalFormatting sqref="L4:L18">
    <cfRule type="containsText" dxfId="12" priority="1">
      <formula>NOT(ISERROR(SEARCH("Pass",L4)))</formula>
    </cfRule>
    <cfRule type="containsText" dxfId="13" priority="2">
      <formula>NOT(ISERROR(SEARCH("Fail",L4)))</formula>
    </cfRule>
    <cfRule type="containsText" dxfId="14" priority="3">
      <formula>NOT(ISERROR(SEARCH("Blocked",L4)))</formula>
    </cfRule>
  </conditionalFormatting>
  <dataValidations count="2">
    <dataValidation type="list" showErrorMessage="1" errorTitle="Invalid status" error="Choose: Not Executed, Pass, Fail, Blocked or N/A" sqref="L10:L18">
      <formula1>"Not Executed,Pass,Fail,Blocked,N/A"</formula1>
    </dataValidation>
    <dataValidation type="list" showErrorMessage="1" errorTitle="Invalid status" error="Choose: Not Executed, Pass, Fail, Blocked or N/A" sqref="L4:L18">
      <formula1>"Not Executed,Pass,Fail,Blocked,N/A"</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
  <sheetViews>
    <sheetView workbookViewId="0" zoomScale="90">
      <pane xSplit="1" ySplit="3" topLeftCell="B4" activePane="bottomRight" state="frozen"/>
      <selection pane="bottomRight"/>
    </sheetView>
  </sheetViews>
  <sheetFormatPr defaultRowHeight="15" outlineLevelRow="0" outlineLevelCol="0" x14ac:dyDescent="55"/>
  <cols>
    <col min="1" max="1" width="12" customWidth="1"/>
    <col min="2" max="2" width="20" customWidth="1"/>
    <col min="3" max="3" width="22" customWidth="1"/>
    <col min="4" max="4" width="46" customWidth="1"/>
    <col min="5" max="5" width="14" customWidth="1"/>
    <col min="6" max="6" width="10" customWidth="1"/>
    <col min="7" max="7" width="38" customWidth="1"/>
    <col min="8" max="8" width="50" customWidth="1"/>
    <col min="9" max="9" width="26" customWidth="1"/>
    <col min="10" max="10" width="66" customWidth="1"/>
    <col min="11" max="11" width="30" customWidth="1"/>
    <col min="12" max="14" width="14" customWidth="1"/>
    <col min="15" max="15" width="26" customWidth="1"/>
  </cols>
  <sheetData>
    <row r="1" ht="28" customHeight="1" spans="1:15" x14ac:dyDescent="0.25">
      <c r="A1" s="6" t="s">
        <v>801</v>
      </c>
      <c r="B1" s="6"/>
      <c r="C1" s="6"/>
      <c r="D1" s="6"/>
      <c r="E1" s="6"/>
      <c r="F1" s="6"/>
      <c r="G1" s="6"/>
      <c r="H1" s="6"/>
      <c r="I1" s="6"/>
      <c r="J1" s="6"/>
      <c r="K1" s="6"/>
      <c r="L1" s="6"/>
      <c r="M1" s="6"/>
      <c r="N1" s="6"/>
      <c r="O1" s="6"/>
    </row>
    <row r="2" ht="20" customHeight="1" spans="1:15" x14ac:dyDescent="0.25">
      <c r="A2" s="7" t="s">
        <v>802</v>
      </c>
      <c r="B2" s="7"/>
      <c r="C2" s="7"/>
      <c r="D2" s="7"/>
      <c r="E2" s="7"/>
      <c r="F2" s="7"/>
      <c r="G2" s="7"/>
      <c r="H2" s="7"/>
      <c r="I2" s="7"/>
      <c r="J2" s="7"/>
      <c r="K2" s="7"/>
      <c r="L2" s="7"/>
      <c r="M2" s="7"/>
      <c r="N2" s="7"/>
      <c r="O2" s="7"/>
    </row>
    <row r="3" ht="30" customHeight="1" spans="1:15" x14ac:dyDescent="0.25">
      <c r="A3" s="8" t="s">
        <v>65</v>
      </c>
      <c r="B3" s="8" t="s">
        <v>66</v>
      </c>
      <c r="C3" s="8" t="s">
        <v>67</v>
      </c>
      <c r="D3" s="8" t="s">
        <v>68</v>
      </c>
      <c r="E3" s="8" t="s">
        <v>69</v>
      </c>
      <c r="F3" s="8" t="s">
        <v>70</v>
      </c>
      <c r="G3" s="8" t="s">
        <v>71</v>
      </c>
      <c r="H3" s="8" t="s">
        <v>72</v>
      </c>
      <c r="I3" s="8" t="s">
        <v>73</v>
      </c>
      <c r="J3" s="8" t="s">
        <v>74</v>
      </c>
      <c r="K3" s="8" t="s">
        <v>75</v>
      </c>
      <c r="L3" s="8" t="s">
        <v>76</v>
      </c>
      <c r="M3" s="8" t="s">
        <v>77</v>
      </c>
      <c r="N3" s="8" t="s">
        <v>78</v>
      </c>
      <c r="O3" s="8" t="s">
        <v>79</v>
      </c>
    </row>
    <row r="4" ht="46" customHeight="1" spans="1:15" x14ac:dyDescent="0.25">
      <c r="A4" s="9" t="s">
        <v>803</v>
      </c>
      <c r="B4" s="10" t="s">
        <v>804</v>
      </c>
      <c r="C4" s="10" t="s">
        <v>805</v>
      </c>
      <c r="D4" s="10" t="s">
        <v>806</v>
      </c>
      <c r="E4" s="11" t="s">
        <v>230</v>
      </c>
      <c r="F4" s="12" t="s">
        <v>85</v>
      </c>
      <c r="G4" s="10" t="s">
        <v>807</v>
      </c>
      <c r="H4" s="10" t="s">
        <v>808</v>
      </c>
      <c r="I4" s="10" t="s">
        <v>809</v>
      </c>
      <c r="J4" s="10" t="s">
        <v>810</v>
      </c>
      <c r="K4" s="10" t="s">
        <v>16</v>
      </c>
      <c r="L4" s="13" t="s">
        <v>90</v>
      </c>
      <c r="M4" s="10" t="s">
        <v>16</v>
      </c>
      <c r="N4" s="14" t="s">
        <v>16</v>
      </c>
      <c r="O4" s="10" t="s">
        <v>16</v>
      </c>
    </row>
    <row r="5" ht="46" customHeight="1" spans="1:15" x14ac:dyDescent="0.25">
      <c r="A5" s="15" t="s">
        <v>811</v>
      </c>
      <c r="B5" s="16" t="s">
        <v>804</v>
      </c>
      <c r="C5" s="16" t="s">
        <v>812</v>
      </c>
      <c r="D5" s="16" t="s">
        <v>813</v>
      </c>
      <c r="E5" s="17" t="s">
        <v>230</v>
      </c>
      <c r="F5" s="18" t="s">
        <v>85</v>
      </c>
      <c r="G5" s="16" t="s">
        <v>814</v>
      </c>
      <c r="H5" s="16" t="s">
        <v>815</v>
      </c>
      <c r="I5" s="16" t="s">
        <v>816</v>
      </c>
      <c r="J5" s="16" t="s">
        <v>817</v>
      </c>
      <c r="K5" s="16" t="s">
        <v>16</v>
      </c>
      <c r="L5" s="19" t="s">
        <v>90</v>
      </c>
      <c r="M5" s="16" t="s">
        <v>16</v>
      </c>
      <c r="N5" s="20" t="s">
        <v>16</v>
      </c>
      <c r="O5" s="16" t="s">
        <v>16</v>
      </c>
    </row>
    <row r="6" ht="46" customHeight="1" spans="1:15" x14ac:dyDescent="0.25">
      <c r="A6" s="9" t="s">
        <v>818</v>
      </c>
      <c r="B6" s="10" t="s">
        <v>804</v>
      </c>
      <c r="C6" s="10" t="s">
        <v>812</v>
      </c>
      <c r="D6" s="10" t="s">
        <v>819</v>
      </c>
      <c r="E6" s="11" t="s">
        <v>84</v>
      </c>
      <c r="F6" s="12" t="s">
        <v>85</v>
      </c>
      <c r="G6" s="10" t="s">
        <v>820</v>
      </c>
      <c r="H6" s="10" t="s">
        <v>821</v>
      </c>
      <c r="I6" s="10" t="s">
        <v>139</v>
      </c>
      <c r="J6" s="10" t="s">
        <v>822</v>
      </c>
      <c r="K6" s="10" t="s">
        <v>16</v>
      </c>
      <c r="L6" s="13" t="s">
        <v>90</v>
      </c>
      <c r="M6" s="10" t="s">
        <v>16</v>
      </c>
      <c r="N6" s="14" t="s">
        <v>16</v>
      </c>
      <c r="O6" s="10" t="s">
        <v>16</v>
      </c>
    </row>
    <row r="7" ht="46" customHeight="1" spans="1:15" x14ac:dyDescent="0.25">
      <c r="A7" s="15" t="s">
        <v>823</v>
      </c>
      <c r="B7" s="16" t="s">
        <v>804</v>
      </c>
      <c r="C7" s="16" t="s">
        <v>812</v>
      </c>
      <c r="D7" s="16" t="s">
        <v>824</v>
      </c>
      <c r="E7" s="17" t="s">
        <v>84</v>
      </c>
      <c r="F7" s="18" t="s">
        <v>85</v>
      </c>
      <c r="G7" s="16" t="s">
        <v>820</v>
      </c>
      <c r="H7" s="16" t="s">
        <v>825</v>
      </c>
      <c r="I7" s="16" t="s">
        <v>826</v>
      </c>
      <c r="J7" s="16" t="s">
        <v>827</v>
      </c>
      <c r="K7" s="16" t="s">
        <v>16</v>
      </c>
      <c r="L7" s="19" t="s">
        <v>90</v>
      </c>
      <c r="M7" s="16" t="s">
        <v>16</v>
      </c>
      <c r="N7" s="20" t="s">
        <v>16</v>
      </c>
      <c r="O7" s="16" t="s">
        <v>16</v>
      </c>
    </row>
    <row r="8" ht="46" customHeight="1" spans="1:15" x14ac:dyDescent="0.25">
      <c r="A8" s="9" t="s">
        <v>828</v>
      </c>
      <c r="B8" s="10" t="s">
        <v>804</v>
      </c>
      <c r="C8" s="10" t="s">
        <v>812</v>
      </c>
      <c r="D8" s="10" t="s">
        <v>829</v>
      </c>
      <c r="E8" s="11" t="s">
        <v>230</v>
      </c>
      <c r="F8" s="13" t="s">
        <v>124</v>
      </c>
      <c r="G8" s="10" t="s">
        <v>830</v>
      </c>
      <c r="H8" s="10" t="s">
        <v>831</v>
      </c>
      <c r="I8" s="10" t="s">
        <v>832</v>
      </c>
      <c r="J8" s="10" t="s">
        <v>833</v>
      </c>
      <c r="K8" s="10" t="s">
        <v>16</v>
      </c>
      <c r="L8" s="13" t="s">
        <v>90</v>
      </c>
      <c r="M8" s="10" t="s">
        <v>16</v>
      </c>
      <c r="N8" s="14" t="s">
        <v>16</v>
      </c>
      <c r="O8" s="10" t="s">
        <v>16</v>
      </c>
    </row>
    <row r="9" ht="46" customHeight="1" spans="1:15" x14ac:dyDescent="0.25">
      <c r="A9" s="15" t="s">
        <v>834</v>
      </c>
      <c r="B9" s="16" t="s">
        <v>804</v>
      </c>
      <c r="C9" s="16" t="s">
        <v>812</v>
      </c>
      <c r="D9" s="16" t="s">
        <v>835</v>
      </c>
      <c r="E9" s="17" t="s">
        <v>150</v>
      </c>
      <c r="F9" s="18" t="s">
        <v>85</v>
      </c>
      <c r="G9" s="16" t="s">
        <v>836</v>
      </c>
      <c r="H9" s="16" t="s">
        <v>837</v>
      </c>
      <c r="I9" s="16" t="s">
        <v>838</v>
      </c>
      <c r="J9" s="16" t="s">
        <v>839</v>
      </c>
      <c r="K9" s="16" t="s">
        <v>16</v>
      </c>
      <c r="L9" s="19" t="s">
        <v>90</v>
      </c>
      <c r="M9" s="16" t="s">
        <v>16</v>
      </c>
      <c r="N9" s="20" t="s">
        <v>16</v>
      </c>
      <c r="O9" s="16" t="s">
        <v>16</v>
      </c>
    </row>
    <row r="10" ht="46" customHeight="1" spans="1:15" x14ac:dyDescent="0.25">
      <c r="A10" s="9" t="s">
        <v>840</v>
      </c>
      <c r="B10" s="10" t="s">
        <v>804</v>
      </c>
      <c r="C10" s="10" t="s">
        <v>812</v>
      </c>
      <c r="D10" s="10" t="s">
        <v>841</v>
      </c>
      <c r="E10" s="11" t="s">
        <v>311</v>
      </c>
      <c r="F10" s="12" t="s">
        <v>85</v>
      </c>
      <c r="G10" s="10" t="s">
        <v>842</v>
      </c>
      <c r="H10" s="10" t="s">
        <v>843</v>
      </c>
      <c r="I10" s="10" t="s">
        <v>844</v>
      </c>
      <c r="J10" s="10" t="s">
        <v>845</v>
      </c>
      <c r="K10" s="10" t="s">
        <v>16</v>
      </c>
      <c r="L10" s="13" t="s">
        <v>90</v>
      </c>
      <c r="M10" s="10" t="s">
        <v>16</v>
      </c>
      <c r="N10" s="14" t="s">
        <v>16</v>
      </c>
      <c r="O10" s="10" t="s">
        <v>16</v>
      </c>
    </row>
    <row r="11" ht="46" customHeight="1" spans="1:15" x14ac:dyDescent="0.25">
      <c r="A11" s="15" t="s">
        <v>846</v>
      </c>
      <c r="B11" s="16" t="s">
        <v>804</v>
      </c>
      <c r="C11" s="16" t="s">
        <v>812</v>
      </c>
      <c r="D11" s="16" t="s">
        <v>847</v>
      </c>
      <c r="E11" s="17" t="s">
        <v>150</v>
      </c>
      <c r="F11" s="18" t="s">
        <v>85</v>
      </c>
      <c r="G11" s="16" t="s">
        <v>848</v>
      </c>
      <c r="H11" s="16" t="s">
        <v>849</v>
      </c>
      <c r="I11" s="16" t="s">
        <v>850</v>
      </c>
      <c r="J11" s="16" t="s">
        <v>851</v>
      </c>
      <c r="K11" s="16" t="s">
        <v>16</v>
      </c>
      <c r="L11" s="19" t="s">
        <v>90</v>
      </c>
      <c r="M11" s="16" t="s">
        <v>16</v>
      </c>
      <c r="N11" s="20" t="s">
        <v>16</v>
      </c>
      <c r="O11" s="16" t="s">
        <v>16</v>
      </c>
    </row>
    <row r="12" ht="46" customHeight="1" spans="1:15" x14ac:dyDescent="0.25">
      <c r="A12" s="9" t="s">
        <v>852</v>
      </c>
      <c r="B12" s="10" t="s">
        <v>804</v>
      </c>
      <c r="C12" s="10" t="s">
        <v>812</v>
      </c>
      <c r="D12" s="10" t="s">
        <v>853</v>
      </c>
      <c r="E12" s="11" t="s">
        <v>311</v>
      </c>
      <c r="F12" s="12" t="s">
        <v>85</v>
      </c>
      <c r="G12" s="10" t="s">
        <v>854</v>
      </c>
      <c r="H12" s="10" t="s">
        <v>855</v>
      </c>
      <c r="I12" s="10" t="s">
        <v>856</v>
      </c>
      <c r="J12" s="10" t="s">
        <v>857</v>
      </c>
      <c r="K12" s="10" t="s">
        <v>16</v>
      </c>
      <c r="L12" s="13" t="s">
        <v>90</v>
      </c>
      <c r="M12" s="10" t="s">
        <v>16</v>
      </c>
      <c r="N12" s="14" t="s">
        <v>16</v>
      </c>
      <c r="O12" s="10" t="s">
        <v>16</v>
      </c>
    </row>
    <row r="13" ht="46" customHeight="1" spans="1:15" x14ac:dyDescent="0.25">
      <c r="A13" s="15" t="s">
        <v>858</v>
      </c>
      <c r="B13" s="16" t="s">
        <v>804</v>
      </c>
      <c r="C13" s="16" t="s">
        <v>812</v>
      </c>
      <c r="D13" s="16" t="s">
        <v>859</v>
      </c>
      <c r="E13" s="17" t="s">
        <v>84</v>
      </c>
      <c r="F13" s="18" t="s">
        <v>85</v>
      </c>
      <c r="G13" s="16" t="s">
        <v>860</v>
      </c>
      <c r="H13" s="16" t="s">
        <v>861</v>
      </c>
      <c r="I13" s="16" t="s">
        <v>862</v>
      </c>
      <c r="J13" s="16" t="s">
        <v>863</v>
      </c>
      <c r="K13" s="16" t="s">
        <v>16</v>
      </c>
      <c r="L13" s="19" t="s">
        <v>90</v>
      </c>
      <c r="M13" s="16" t="s">
        <v>16</v>
      </c>
      <c r="N13" s="20" t="s">
        <v>16</v>
      </c>
      <c r="O13" s="16" t="s">
        <v>16</v>
      </c>
    </row>
    <row r="14" ht="46" customHeight="1" spans="1:15" x14ac:dyDescent="0.25">
      <c r="A14" s="9" t="s">
        <v>864</v>
      </c>
      <c r="B14" s="10" t="s">
        <v>804</v>
      </c>
      <c r="C14" s="10" t="s">
        <v>812</v>
      </c>
      <c r="D14" s="10" t="s">
        <v>865</v>
      </c>
      <c r="E14" s="11" t="s">
        <v>84</v>
      </c>
      <c r="F14" s="12" t="s">
        <v>85</v>
      </c>
      <c r="G14" s="10" t="s">
        <v>866</v>
      </c>
      <c r="H14" s="10" t="s">
        <v>867</v>
      </c>
      <c r="I14" s="10" t="s">
        <v>862</v>
      </c>
      <c r="J14" s="10" t="s">
        <v>868</v>
      </c>
      <c r="K14" s="10" t="s">
        <v>16</v>
      </c>
      <c r="L14" s="13" t="s">
        <v>90</v>
      </c>
      <c r="M14" s="10" t="s">
        <v>16</v>
      </c>
      <c r="N14" s="14" t="s">
        <v>16</v>
      </c>
      <c r="O14" s="10" t="s">
        <v>16</v>
      </c>
    </row>
    <row r="15" ht="46" customHeight="1" spans="1:15" x14ac:dyDescent="0.25">
      <c r="A15" s="15" t="s">
        <v>869</v>
      </c>
      <c r="B15" s="16" t="s">
        <v>804</v>
      </c>
      <c r="C15" s="16" t="s">
        <v>812</v>
      </c>
      <c r="D15" s="16" t="s">
        <v>870</v>
      </c>
      <c r="E15" s="17" t="s">
        <v>84</v>
      </c>
      <c r="F15" s="18" t="s">
        <v>85</v>
      </c>
      <c r="G15" s="16" t="s">
        <v>871</v>
      </c>
      <c r="H15" s="16" t="s">
        <v>872</v>
      </c>
      <c r="I15" s="16" t="s">
        <v>139</v>
      </c>
      <c r="J15" s="16" t="s">
        <v>873</v>
      </c>
      <c r="K15" s="16" t="s">
        <v>16</v>
      </c>
      <c r="L15" s="19" t="s">
        <v>90</v>
      </c>
      <c r="M15" s="16" t="s">
        <v>16</v>
      </c>
      <c r="N15" s="20" t="s">
        <v>16</v>
      </c>
      <c r="O15" s="16" t="s">
        <v>16</v>
      </c>
    </row>
    <row r="16" ht="46" customHeight="1" spans="1:15" x14ac:dyDescent="0.25">
      <c r="A16" s="9" t="s">
        <v>874</v>
      </c>
      <c r="B16" s="10" t="s">
        <v>804</v>
      </c>
      <c r="C16" s="10" t="s">
        <v>875</v>
      </c>
      <c r="D16" s="10" t="s">
        <v>876</v>
      </c>
      <c r="E16" s="11" t="s">
        <v>93</v>
      </c>
      <c r="F16" s="12" t="s">
        <v>85</v>
      </c>
      <c r="G16" s="10" t="s">
        <v>877</v>
      </c>
      <c r="H16" s="10" t="s">
        <v>878</v>
      </c>
      <c r="I16" s="10" t="s">
        <v>879</v>
      </c>
      <c r="J16" s="10" t="s">
        <v>880</v>
      </c>
      <c r="K16" s="10" t="s">
        <v>16</v>
      </c>
      <c r="L16" s="13" t="s">
        <v>90</v>
      </c>
      <c r="M16" s="10" t="s">
        <v>16</v>
      </c>
      <c r="N16" s="14" t="s">
        <v>16</v>
      </c>
      <c r="O16" s="10" t="s">
        <v>16</v>
      </c>
    </row>
    <row r="17" ht="56" customHeight="1" spans="1:15" x14ac:dyDescent="0.25">
      <c r="A17" s="15" t="s">
        <v>881</v>
      </c>
      <c r="B17" s="16" t="s">
        <v>804</v>
      </c>
      <c r="C17" s="16" t="s">
        <v>882</v>
      </c>
      <c r="D17" s="16" t="s">
        <v>883</v>
      </c>
      <c r="E17" s="17" t="s">
        <v>311</v>
      </c>
      <c r="F17" s="18" t="s">
        <v>85</v>
      </c>
      <c r="G17" s="16" t="s">
        <v>884</v>
      </c>
      <c r="H17" s="16" t="s">
        <v>885</v>
      </c>
      <c r="I17" s="16" t="s">
        <v>139</v>
      </c>
      <c r="J17" s="16" t="s">
        <v>886</v>
      </c>
      <c r="K17" s="16" t="s">
        <v>16</v>
      </c>
      <c r="L17" s="19" t="s">
        <v>90</v>
      </c>
      <c r="M17" s="16" t="s">
        <v>16</v>
      </c>
      <c r="N17" s="20" t="s">
        <v>16</v>
      </c>
      <c r="O17" s="16" t="s">
        <v>16</v>
      </c>
    </row>
    <row r="18" ht="56" customHeight="1" spans="1:15" x14ac:dyDescent="0.25">
      <c r="A18" s="9" t="s">
        <v>887</v>
      </c>
      <c r="B18" s="10" t="s">
        <v>804</v>
      </c>
      <c r="C18" s="10" t="s">
        <v>888</v>
      </c>
      <c r="D18" s="10" t="s">
        <v>889</v>
      </c>
      <c r="E18" s="11" t="s">
        <v>84</v>
      </c>
      <c r="F18" s="12" t="s">
        <v>85</v>
      </c>
      <c r="G18" s="10" t="s">
        <v>890</v>
      </c>
      <c r="H18" s="10" t="s">
        <v>891</v>
      </c>
      <c r="I18" s="10" t="s">
        <v>892</v>
      </c>
      <c r="J18" s="10" t="s">
        <v>893</v>
      </c>
      <c r="K18" s="10" t="s">
        <v>16</v>
      </c>
      <c r="L18" s="13" t="s">
        <v>90</v>
      </c>
      <c r="M18" s="10" t="s">
        <v>16</v>
      </c>
      <c r="N18" s="14" t="s">
        <v>16</v>
      </c>
      <c r="O18" s="10" t="s">
        <v>16</v>
      </c>
    </row>
    <row r="19" ht="46" customHeight="1" spans="1:15" x14ac:dyDescent="0.25">
      <c r="A19" s="15" t="s">
        <v>894</v>
      </c>
      <c r="B19" s="16" t="s">
        <v>804</v>
      </c>
      <c r="C19" s="16" t="s">
        <v>888</v>
      </c>
      <c r="D19" s="16" t="s">
        <v>895</v>
      </c>
      <c r="E19" s="17" t="s">
        <v>150</v>
      </c>
      <c r="F19" s="19" t="s">
        <v>124</v>
      </c>
      <c r="G19" s="16" t="s">
        <v>896</v>
      </c>
      <c r="H19" s="16" t="s">
        <v>897</v>
      </c>
      <c r="I19" s="16" t="s">
        <v>139</v>
      </c>
      <c r="J19" s="16" t="s">
        <v>898</v>
      </c>
      <c r="K19" s="16" t="s">
        <v>16</v>
      </c>
      <c r="L19" s="19" t="s">
        <v>90</v>
      </c>
      <c r="M19" s="16" t="s">
        <v>16</v>
      </c>
      <c r="N19" s="20" t="s">
        <v>16</v>
      </c>
      <c r="O19" s="16" t="s">
        <v>16</v>
      </c>
    </row>
    <row r="20" ht="46" customHeight="1" spans="1:15" x14ac:dyDescent="0.25">
      <c r="A20" s="9" t="s">
        <v>899</v>
      </c>
      <c r="B20" s="10" t="s">
        <v>804</v>
      </c>
      <c r="C20" s="10" t="s">
        <v>888</v>
      </c>
      <c r="D20" s="10" t="s">
        <v>900</v>
      </c>
      <c r="E20" s="11" t="s">
        <v>93</v>
      </c>
      <c r="F20" s="12" t="s">
        <v>85</v>
      </c>
      <c r="G20" s="10" t="s">
        <v>901</v>
      </c>
      <c r="H20" s="10" t="s">
        <v>902</v>
      </c>
      <c r="I20" s="10" t="s">
        <v>903</v>
      </c>
      <c r="J20" s="10" t="s">
        <v>904</v>
      </c>
      <c r="K20" s="10" t="s">
        <v>16</v>
      </c>
      <c r="L20" s="13" t="s">
        <v>90</v>
      </c>
      <c r="M20" s="10" t="s">
        <v>16</v>
      </c>
      <c r="N20" s="14" t="s">
        <v>16</v>
      </c>
      <c r="O20" s="10" t="s">
        <v>16</v>
      </c>
    </row>
    <row r="21" ht="56" customHeight="1" spans="1:15" x14ac:dyDescent="0.25">
      <c r="A21" s="15" t="s">
        <v>905</v>
      </c>
      <c r="B21" s="16" t="s">
        <v>804</v>
      </c>
      <c r="C21" s="16" t="s">
        <v>888</v>
      </c>
      <c r="D21" s="16" t="s">
        <v>906</v>
      </c>
      <c r="E21" s="17" t="s">
        <v>311</v>
      </c>
      <c r="F21" s="18" t="s">
        <v>85</v>
      </c>
      <c r="G21" s="16" t="s">
        <v>907</v>
      </c>
      <c r="H21" s="16" t="s">
        <v>908</v>
      </c>
      <c r="I21" s="16" t="s">
        <v>909</v>
      </c>
      <c r="J21" s="16" t="s">
        <v>910</v>
      </c>
      <c r="K21" s="16" t="s">
        <v>16</v>
      </c>
      <c r="L21" s="19" t="s">
        <v>90</v>
      </c>
      <c r="M21" s="16" t="s">
        <v>16</v>
      </c>
      <c r="N21" s="20" t="s">
        <v>16</v>
      </c>
      <c r="O21" s="16" t="s">
        <v>16</v>
      </c>
    </row>
    <row r="22" ht="46" customHeight="1" spans="1:15" x14ac:dyDescent="0.25">
      <c r="A22" s="9" t="s">
        <v>911</v>
      </c>
      <c r="B22" s="10" t="s">
        <v>804</v>
      </c>
      <c r="C22" s="10" t="s">
        <v>888</v>
      </c>
      <c r="D22" s="10" t="s">
        <v>912</v>
      </c>
      <c r="E22" s="11" t="s">
        <v>150</v>
      </c>
      <c r="F22" s="13" t="s">
        <v>124</v>
      </c>
      <c r="G22" s="10" t="s">
        <v>913</v>
      </c>
      <c r="H22" s="10" t="s">
        <v>914</v>
      </c>
      <c r="I22" s="10" t="s">
        <v>139</v>
      </c>
      <c r="J22" s="10" t="s">
        <v>915</v>
      </c>
      <c r="K22" s="10" t="s">
        <v>16</v>
      </c>
      <c r="L22" s="13" t="s">
        <v>90</v>
      </c>
      <c r="M22" s="10" t="s">
        <v>16</v>
      </c>
      <c r="N22" s="14" t="s">
        <v>16</v>
      </c>
      <c r="O22" s="10" t="s">
        <v>16</v>
      </c>
    </row>
    <row r="23" ht="56" customHeight="1" spans="1:15" x14ac:dyDescent="0.25">
      <c r="A23" s="15" t="s">
        <v>916</v>
      </c>
      <c r="B23" s="16" t="s">
        <v>804</v>
      </c>
      <c r="C23" s="16" t="s">
        <v>888</v>
      </c>
      <c r="D23" s="16" t="s">
        <v>917</v>
      </c>
      <c r="E23" s="17" t="s">
        <v>311</v>
      </c>
      <c r="F23" s="18" t="s">
        <v>85</v>
      </c>
      <c r="G23" s="16" t="s">
        <v>918</v>
      </c>
      <c r="H23" s="16" t="s">
        <v>919</v>
      </c>
      <c r="I23" s="16" t="s">
        <v>139</v>
      </c>
      <c r="J23" s="16" t="s">
        <v>920</v>
      </c>
      <c r="K23" s="16" t="s">
        <v>16</v>
      </c>
      <c r="L23" s="19" t="s">
        <v>90</v>
      </c>
      <c r="M23" s="16" t="s">
        <v>16</v>
      </c>
      <c r="N23" s="20" t="s">
        <v>16</v>
      </c>
      <c r="O23" s="16" t="s">
        <v>16</v>
      </c>
    </row>
    <row r="24" ht="46" customHeight="1" spans="1:15" x14ac:dyDescent="0.25">
      <c r="A24" s="9" t="s">
        <v>921</v>
      </c>
      <c r="B24" s="10" t="s">
        <v>804</v>
      </c>
      <c r="C24" s="10" t="s">
        <v>922</v>
      </c>
      <c r="D24" s="10" t="s">
        <v>923</v>
      </c>
      <c r="E24" s="11" t="s">
        <v>93</v>
      </c>
      <c r="F24" s="13" t="s">
        <v>124</v>
      </c>
      <c r="G24" s="10" t="s">
        <v>924</v>
      </c>
      <c r="H24" s="10" t="s">
        <v>925</v>
      </c>
      <c r="I24" s="10" t="s">
        <v>139</v>
      </c>
      <c r="J24" s="10" t="s">
        <v>926</v>
      </c>
      <c r="K24" s="10" t="s">
        <v>16</v>
      </c>
      <c r="L24" s="13" t="s">
        <v>90</v>
      </c>
      <c r="M24" s="10" t="s">
        <v>16</v>
      </c>
      <c r="N24" s="14" t="s">
        <v>16</v>
      </c>
      <c r="O24" s="10" t="s">
        <v>16</v>
      </c>
    </row>
  </sheetData>
  <autoFilter ref="A3:O24"/>
  <mergeCells count="2">
    <mergeCell ref="A1:O1"/>
    <mergeCell ref="A2:O2"/>
  </mergeCells>
  <conditionalFormatting sqref="L4:L24">
    <cfRule type="containsText" dxfId="15" priority="1">
      <formula>NOT(ISERROR(SEARCH("Pass",L4)))</formula>
    </cfRule>
    <cfRule type="containsText" dxfId="16" priority="2">
      <formula>NOT(ISERROR(SEARCH("Fail",L4)))</formula>
    </cfRule>
    <cfRule type="containsText" dxfId="17" priority="3">
      <formula>NOT(ISERROR(SEARCH("Blocked",L4)))</formula>
    </cfRule>
  </conditionalFormatting>
  <dataValidations count="2">
    <dataValidation type="list" showErrorMessage="1" errorTitle="Invalid status" error="Choose: Not Executed, Pass, Fail, Blocked or N/A" sqref="L10:L24">
      <formula1>"Not Executed,Pass,Fail,Blocked,N/A"</formula1>
    </dataValidation>
    <dataValidation type="list" showErrorMessage="1" errorTitle="Invalid status" error="Choose: Not Executed, Pass, Fail, Blocked or N/A" sqref="L4:L24">
      <formula1>"Not Executed,Pass,Fail,Blocked,N/A"</formula1>
    </dataValidation>
  </dataValidation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
  <sheetViews>
    <sheetView workbookViewId="0" zoomScale="90">
      <pane xSplit="1" ySplit="3" topLeftCell="B4" activePane="bottomRight" state="frozen"/>
      <selection pane="bottomRight"/>
    </sheetView>
  </sheetViews>
  <sheetFormatPr defaultRowHeight="15" outlineLevelRow="0" outlineLevelCol="0" x14ac:dyDescent="55"/>
  <cols>
    <col min="1" max="1" width="12" customWidth="1"/>
    <col min="2" max="2" width="20" customWidth="1"/>
    <col min="3" max="3" width="22" customWidth="1"/>
    <col min="4" max="4" width="46" customWidth="1"/>
    <col min="5" max="5" width="14" customWidth="1"/>
    <col min="6" max="6" width="10" customWidth="1"/>
    <col min="7" max="7" width="38" customWidth="1"/>
    <col min="8" max="8" width="50" customWidth="1"/>
    <col min="9" max="9" width="26" customWidth="1"/>
    <col min="10" max="10" width="66" customWidth="1"/>
    <col min="11" max="11" width="30" customWidth="1"/>
    <col min="12" max="14" width="14" customWidth="1"/>
    <col min="15" max="15" width="26" customWidth="1"/>
  </cols>
  <sheetData>
    <row r="1" ht="28" customHeight="1" spans="1:15" x14ac:dyDescent="0.25">
      <c r="A1" s="6" t="s">
        <v>927</v>
      </c>
      <c r="B1" s="6"/>
      <c r="C1" s="6"/>
      <c r="D1" s="6"/>
      <c r="E1" s="6"/>
      <c r="F1" s="6"/>
      <c r="G1" s="6"/>
      <c r="H1" s="6"/>
      <c r="I1" s="6"/>
      <c r="J1" s="6"/>
      <c r="K1" s="6"/>
      <c r="L1" s="6"/>
      <c r="M1" s="6"/>
      <c r="N1" s="6"/>
      <c r="O1" s="6"/>
    </row>
    <row r="2" ht="20" customHeight="1" spans="1:15" x14ac:dyDescent="0.25">
      <c r="A2" s="7" t="s">
        <v>928</v>
      </c>
      <c r="B2" s="7"/>
      <c r="C2" s="7"/>
      <c r="D2" s="7"/>
      <c r="E2" s="7"/>
      <c r="F2" s="7"/>
      <c r="G2" s="7"/>
      <c r="H2" s="7"/>
      <c r="I2" s="7"/>
      <c r="J2" s="7"/>
      <c r="K2" s="7"/>
      <c r="L2" s="7"/>
      <c r="M2" s="7"/>
      <c r="N2" s="7"/>
      <c r="O2" s="7"/>
    </row>
    <row r="3" ht="30" customHeight="1" spans="1:15" x14ac:dyDescent="0.25">
      <c r="A3" s="8" t="s">
        <v>65</v>
      </c>
      <c r="B3" s="8" t="s">
        <v>66</v>
      </c>
      <c r="C3" s="8" t="s">
        <v>67</v>
      </c>
      <c r="D3" s="8" t="s">
        <v>68</v>
      </c>
      <c r="E3" s="8" t="s">
        <v>69</v>
      </c>
      <c r="F3" s="8" t="s">
        <v>70</v>
      </c>
      <c r="G3" s="8" t="s">
        <v>71</v>
      </c>
      <c r="H3" s="8" t="s">
        <v>72</v>
      </c>
      <c r="I3" s="8" t="s">
        <v>73</v>
      </c>
      <c r="J3" s="8" t="s">
        <v>74</v>
      </c>
      <c r="K3" s="8" t="s">
        <v>75</v>
      </c>
      <c r="L3" s="8" t="s">
        <v>76</v>
      </c>
      <c r="M3" s="8" t="s">
        <v>77</v>
      </c>
      <c r="N3" s="8" t="s">
        <v>78</v>
      </c>
      <c r="O3" s="8" t="s">
        <v>79</v>
      </c>
    </row>
    <row r="4" ht="46" customHeight="1" spans="1:15" x14ac:dyDescent="0.25">
      <c r="A4" s="9" t="s">
        <v>929</v>
      </c>
      <c r="B4" s="10" t="s">
        <v>795</v>
      </c>
      <c r="C4" s="10" t="s">
        <v>930</v>
      </c>
      <c r="D4" s="10" t="s">
        <v>931</v>
      </c>
      <c r="E4" s="11" t="s">
        <v>93</v>
      </c>
      <c r="F4" s="12" t="s">
        <v>85</v>
      </c>
      <c r="G4" s="10" t="s">
        <v>932</v>
      </c>
      <c r="H4" s="10" t="s">
        <v>933</v>
      </c>
      <c r="I4" s="10" t="s">
        <v>934</v>
      </c>
      <c r="J4" s="10" t="s">
        <v>935</v>
      </c>
      <c r="K4" s="10" t="s">
        <v>16</v>
      </c>
      <c r="L4" s="13" t="s">
        <v>90</v>
      </c>
      <c r="M4" s="10" t="s">
        <v>16</v>
      </c>
      <c r="N4" s="14" t="s">
        <v>16</v>
      </c>
      <c r="O4" s="10" t="s">
        <v>16</v>
      </c>
    </row>
    <row r="5" ht="46" customHeight="1" spans="1:15" x14ac:dyDescent="0.25">
      <c r="A5" s="15" t="s">
        <v>936</v>
      </c>
      <c r="B5" s="16" t="s">
        <v>795</v>
      </c>
      <c r="C5" s="16" t="s">
        <v>930</v>
      </c>
      <c r="D5" s="16" t="s">
        <v>937</v>
      </c>
      <c r="E5" s="17" t="s">
        <v>311</v>
      </c>
      <c r="F5" s="18" t="s">
        <v>85</v>
      </c>
      <c r="G5" s="16" t="s">
        <v>938</v>
      </c>
      <c r="H5" s="16" t="s">
        <v>939</v>
      </c>
      <c r="I5" s="16" t="s">
        <v>940</v>
      </c>
      <c r="J5" s="16" t="s">
        <v>941</v>
      </c>
      <c r="K5" s="16" t="s">
        <v>16</v>
      </c>
      <c r="L5" s="19" t="s">
        <v>90</v>
      </c>
      <c r="M5" s="16" t="s">
        <v>16</v>
      </c>
      <c r="N5" s="20" t="s">
        <v>16</v>
      </c>
      <c r="O5" s="16" t="s">
        <v>16</v>
      </c>
    </row>
    <row r="6" ht="56" customHeight="1" spans="1:15" x14ac:dyDescent="0.25">
      <c r="A6" s="9" t="s">
        <v>942</v>
      </c>
      <c r="B6" s="10" t="s">
        <v>795</v>
      </c>
      <c r="C6" s="10" t="s">
        <v>930</v>
      </c>
      <c r="D6" s="10" t="s">
        <v>943</v>
      </c>
      <c r="E6" s="11" t="s">
        <v>311</v>
      </c>
      <c r="F6" s="12" t="s">
        <v>85</v>
      </c>
      <c r="G6" s="10" t="s">
        <v>944</v>
      </c>
      <c r="H6" s="10" t="s">
        <v>945</v>
      </c>
      <c r="I6" s="10" t="s">
        <v>946</v>
      </c>
      <c r="J6" s="10" t="s">
        <v>947</v>
      </c>
      <c r="K6" s="10" t="s">
        <v>16</v>
      </c>
      <c r="L6" s="13" t="s">
        <v>90</v>
      </c>
      <c r="M6" s="10" t="s">
        <v>16</v>
      </c>
      <c r="N6" s="14" t="s">
        <v>16</v>
      </c>
      <c r="O6" s="10" t="s">
        <v>16</v>
      </c>
    </row>
    <row r="7" ht="46" customHeight="1" spans="1:15" x14ac:dyDescent="0.25">
      <c r="A7" s="15" t="s">
        <v>948</v>
      </c>
      <c r="B7" s="16" t="s">
        <v>795</v>
      </c>
      <c r="C7" s="16" t="s">
        <v>930</v>
      </c>
      <c r="D7" s="16" t="s">
        <v>949</v>
      </c>
      <c r="E7" s="17" t="s">
        <v>93</v>
      </c>
      <c r="F7" s="18" t="s">
        <v>85</v>
      </c>
      <c r="G7" s="16" t="s">
        <v>950</v>
      </c>
      <c r="H7" s="16" t="s">
        <v>951</v>
      </c>
      <c r="I7" s="16" t="s">
        <v>952</v>
      </c>
      <c r="J7" s="16" t="s">
        <v>953</v>
      </c>
      <c r="K7" s="16" t="s">
        <v>16</v>
      </c>
      <c r="L7" s="19" t="s">
        <v>90</v>
      </c>
      <c r="M7" s="16" t="s">
        <v>16</v>
      </c>
      <c r="N7" s="20" t="s">
        <v>16</v>
      </c>
      <c r="O7" s="16" t="s">
        <v>16</v>
      </c>
    </row>
    <row r="8" ht="56" customHeight="1" spans="1:15" x14ac:dyDescent="0.25">
      <c r="A8" s="9" t="s">
        <v>954</v>
      </c>
      <c r="B8" s="10" t="s">
        <v>795</v>
      </c>
      <c r="C8" s="10" t="s">
        <v>955</v>
      </c>
      <c r="D8" s="10" t="s">
        <v>956</v>
      </c>
      <c r="E8" s="11" t="s">
        <v>93</v>
      </c>
      <c r="F8" s="12" t="s">
        <v>85</v>
      </c>
      <c r="G8" s="10" t="s">
        <v>957</v>
      </c>
      <c r="H8" s="10" t="s">
        <v>958</v>
      </c>
      <c r="I8" s="10" t="s">
        <v>959</v>
      </c>
      <c r="J8" s="10" t="s">
        <v>960</v>
      </c>
      <c r="K8" s="10" t="s">
        <v>16</v>
      </c>
      <c r="L8" s="13" t="s">
        <v>90</v>
      </c>
      <c r="M8" s="10" t="s">
        <v>16</v>
      </c>
      <c r="N8" s="14" t="s">
        <v>16</v>
      </c>
      <c r="O8" s="10" t="s">
        <v>16</v>
      </c>
    </row>
    <row r="9" ht="46" customHeight="1" spans="1:15" x14ac:dyDescent="0.25">
      <c r="A9" s="15" t="s">
        <v>961</v>
      </c>
      <c r="B9" s="16" t="s">
        <v>795</v>
      </c>
      <c r="C9" s="16" t="s">
        <v>955</v>
      </c>
      <c r="D9" s="16" t="s">
        <v>962</v>
      </c>
      <c r="E9" s="17" t="s">
        <v>93</v>
      </c>
      <c r="F9" s="18" t="s">
        <v>85</v>
      </c>
      <c r="G9" s="16" t="s">
        <v>963</v>
      </c>
      <c r="H9" s="16" t="s">
        <v>964</v>
      </c>
      <c r="I9" s="16" t="s">
        <v>965</v>
      </c>
      <c r="J9" s="16" t="s">
        <v>966</v>
      </c>
      <c r="K9" s="16" t="s">
        <v>16</v>
      </c>
      <c r="L9" s="19" t="s">
        <v>90</v>
      </c>
      <c r="M9" s="16" t="s">
        <v>16</v>
      </c>
      <c r="N9" s="20" t="s">
        <v>16</v>
      </c>
      <c r="O9" s="16" t="s">
        <v>16</v>
      </c>
    </row>
    <row r="10" ht="46" customHeight="1" spans="1:15" x14ac:dyDescent="0.25">
      <c r="A10" s="9" t="s">
        <v>967</v>
      </c>
      <c r="B10" s="10" t="s">
        <v>795</v>
      </c>
      <c r="C10" s="10" t="s">
        <v>968</v>
      </c>
      <c r="D10" s="10" t="s">
        <v>969</v>
      </c>
      <c r="E10" s="11" t="s">
        <v>93</v>
      </c>
      <c r="F10" s="13" t="s">
        <v>124</v>
      </c>
      <c r="G10" s="10" t="s">
        <v>970</v>
      </c>
      <c r="H10" s="10" t="s">
        <v>971</v>
      </c>
      <c r="I10" s="10" t="s">
        <v>972</v>
      </c>
      <c r="J10" s="10" t="s">
        <v>973</v>
      </c>
      <c r="K10" s="10" t="s">
        <v>16</v>
      </c>
      <c r="L10" s="13" t="s">
        <v>90</v>
      </c>
      <c r="M10" s="10" t="s">
        <v>16</v>
      </c>
      <c r="N10" s="14" t="s">
        <v>16</v>
      </c>
      <c r="O10" s="10" t="s">
        <v>16</v>
      </c>
    </row>
    <row r="11" ht="46" customHeight="1" spans="1:15" x14ac:dyDescent="0.25">
      <c r="A11" s="15" t="s">
        <v>974</v>
      </c>
      <c r="B11" s="16" t="s">
        <v>795</v>
      </c>
      <c r="C11" s="16" t="s">
        <v>968</v>
      </c>
      <c r="D11" s="16" t="s">
        <v>975</v>
      </c>
      <c r="E11" s="17" t="s">
        <v>84</v>
      </c>
      <c r="F11" s="18" t="s">
        <v>85</v>
      </c>
      <c r="G11" s="16" t="s">
        <v>447</v>
      </c>
      <c r="H11" s="16" t="s">
        <v>976</v>
      </c>
      <c r="I11" s="16" t="s">
        <v>139</v>
      </c>
      <c r="J11" s="16" t="s">
        <v>977</v>
      </c>
      <c r="K11" s="16" t="s">
        <v>16</v>
      </c>
      <c r="L11" s="19" t="s">
        <v>90</v>
      </c>
      <c r="M11" s="16" t="s">
        <v>16</v>
      </c>
      <c r="N11" s="20" t="s">
        <v>16</v>
      </c>
      <c r="O11" s="16" t="s">
        <v>16</v>
      </c>
    </row>
    <row r="12" ht="46" customHeight="1" spans="1:15" x14ac:dyDescent="0.25">
      <c r="A12" s="9" t="s">
        <v>978</v>
      </c>
      <c r="B12" s="10" t="s">
        <v>795</v>
      </c>
      <c r="C12" s="10" t="s">
        <v>979</v>
      </c>
      <c r="D12" s="10" t="s">
        <v>980</v>
      </c>
      <c r="E12" s="11" t="s">
        <v>93</v>
      </c>
      <c r="F12" s="12" t="s">
        <v>85</v>
      </c>
      <c r="G12" s="10" t="s">
        <v>981</v>
      </c>
      <c r="H12" s="10" t="s">
        <v>982</v>
      </c>
      <c r="I12" s="10" t="s">
        <v>983</v>
      </c>
      <c r="J12" s="10" t="s">
        <v>984</v>
      </c>
      <c r="K12" s="10" t="s">
        <v>16</v>
      </c>
      <c r="L12" s="13" t="s">
        <v>90</v>
      </c>
      <c r="M12" s="10" t="s">
        <v>16</v>
      </c>
      <c r="N12" s="14" t="s">
        <v>16</v>
      </c>
      <c r="O12" s="10" t="s">
        <v>16</v>
      </c>
    </row>
    <row r="13" ht="46" customHeight="1" spans="1:15" x14ac:dyDescent="0.25">
      <c r="A13" s="15" t="s">
        <v>985</v>
      </c>
      <c r="B13" s="16" t="s">
        <v>795</v>
      </c>
      <c r="C13" s="16" t="s">
        <v>986</v>
      </c>
      <c r="D13" s="16" t="s">
        <v>987</v>
      </c>
      <c r="E13" s="17" t="s">
        <v>93</v>
      </c>
      <c r="F13" s="18" t="s">
        <v>85</v>
      </c>
      <c r="G13" s="16" t="s">
        <v>988</v>
      </c>
      <c r="H13" s="16" t="s">
        <v>989</v>
      </c>
      <c r="I13" s="16" t="s">
        <v>990</v>
      </c>
      <c r="J13" s="16" t="s">
        <v>991</v>
      </c>
      <c r="K13" s="16" t="s">
        <v>16</v>
      </c>
      <c r="L13" s="19" t="s">
        <v>90</v>
      </c>
      <c r="M13" s="16" t="s">
        <v>16</v>
      </c>
      <c r="N13" s="20" t="s">
        <v>16</v>
      </c>
      <c r="O13" s="16" t="s">
        <v>16</v>
      </c>
    </row>
    <row r="14" ht="46" customHeight="1" spans="1:15" x14ac:dyDescent="0.25">
      <c r="A14" s="9" t="s">
        <v>992</v>
      </c>
      <c r="B14" s="10" t="s">
        <v>795</v>
      </c>
      <c r="C14" s="10" t="s">
        <v>986</v>
      </c>
      <c r="D14" s="10" t="s">
        <v>993</v>
      </c>
      <c r="E14" s="11" t="s">
        <v>93</v>
      </c>
      <c r="F14" s="13" t="s">
        <v>124</v>
      </c>
      <c r="G14" s="10" t="s">
        <v>994</v>
      </c>
      <c r="H14" s="10" t="s">
        <v>995</v>
      </c>
      <c r="I14" s="10" t="s">
        <v>139</v>
      </c>
      <c r="J14" s="10" t="s">
        <v>996</v>
      </c>
      <c r="K14" s="10" t="s">
        <v>16</v>
      </c>
      <c r="L14" s="13" t="s">
        <v>90</v>
      </c>
      <c r="M14" s="10" t="s">
        <v>16</v>
      </c>
      <c r="N14" s="14" t="s">
        <v>16</v>
      </c>
      <c r="O14" s="10" t="s">
        <v>16</v>
      </c>
    </row>
    <row r="15" ht="46" customHeight="1" spans="1:15" x14ac:dyDescent="0.25">
      <c r="A15" s="15" t="s">
        <v>997</v>
      </c>
      <c r="B15" s="16" t="s">
        <v>795</v>
      </c>
      <c r="C15" s="16" t="s">
        <v>998</v>
      </c>
      <c r="D15" s="16" t="s">
        <v>999</v>
      </c>
      <c r="E15" s="17" t="s">
        <v>84</v>
      </c>
      <c r="F15" s="18" t="s">
        <v>85</v>
      </c>
      <c r="G15" s="16" t="s">
        <v>1000</v>
      </c>
      <c r="H15" s="16" t="s">
        <v>1001</v>
      </c>
      <c r="I15" s="16" t="s">
        <v>139</v>
      </c>
      <c r="J15" s="16" t="s">
        <v>1002</v>
      </c>
      <c r="K15" s="16" t="s">
        <v>16</v>
      </c>
      <c r="L15" s="19" t="s">
        <v>90</v>
      </c>
      <c r="M15" s="16" t="s">
        <v>16</v>
      </c>
      <c r="N15" s="20" t="s">
        <v>16</v>
      </c>
      <c r="O15" s="16" t="s">
        <v>16</v>
      </c>
    </row>
    <row r="16" ht="46" customHeight="1" spans="1:15" x14ac:dyDescent="0.25">
      <c r="A16" s="9" t="s">
        <v>1003</v>
      </c>
      <c r="B16" s="10" t="s">
        <v>795</v>
      </c>
      <c r="C16" s="10" t="s">
        <v>998</v>
      </c>
      <c r="D16" s="10" t="s">
        <v>1004</v>
      </c>
      <c r="E16" s="11" t="s">
        <v>150</v>
      </c>
      <c r="F16" s="12" t="s">
        <v>85</v>
      </c>
      <c r="G16" s="10" t="s">
        <v>1005</v>
      </c>
      <c r="H16" s="10" t="s">
        <v>1006</v>
      </c>
      <c r="I16" s="10" t="s">
        <v>139</v>
      </c>
      <c r="J16" s="10" t="s">
        <v>1007</v>
      </c>
      <c r="K16" s="10" t="s">
        <v>16</v>
      </c>
      <c r="L16" s="13" t="s">
        <v>90</v>
      </c>
      <c r="M16" s="10" t="s">
        <v>16</v>
      </c>
      <c r="N16" s="14" t="s">
        <v>16</v>
      </c>
      <c r="O16" s="10" t="s">
        <v>16</v>
      </c>
    </row>
    <row r="17" ht="46" customHeight="1" spans="1:15" x14ac:dyDescent="0.25">
      <c r="A17" s="15" t="s">
        <v>1008</v>
      </c>
      <c r="B17" s="16" t="s">
        <v>795</v>
      </c>
      <c r="C17" s="16" t="s">
        <v>1009</v>
      </c>
      <c r="D17" s="16" t="s">
        <v>1010</v>
      </c>
      <c r="E17" s="17" t="s">
        <v>311</v>
      </c>
      <c r="F17" s="18" t="s">
        <v>85</v>
      </c>
      <c r="G17" s="16" t="s">
        <v>1011</v>
      </c>
      <c r="H17" s="16" t="s">
        <v>1012</v>
      </c>
      <c r="I17" s="16" t="s">
        <v>139</v>
      </c>
      <c r="J17" s="16" t="s">
        <v>1013</v>
      </c>
      <c r="K17" s="16" t="s">
        <v>16</v>
      </c>
      <c r="L17" s="19" t="s">
        <v>90</v>
      </c>
      <c r="M17" s="16" t="s">
        <v>16</v>
      </c>
      <c r="N17" s="20" t="s">
        <v>16</v>
      </c>
      <c r="O17" s="16" t="s">
        <v>16</v>
      </c>
    </row>
    <row r="18" ht="46" customHeight="1" spans="1:15" x14ac:dyDescent="0.25">
      <c r="A18" s="9" t="s">
        <v>1014</v>
      </c>
      <c r="B18" s="10" t="s">
        <v>795</v>
      </c>
      <c r="C18" s="10" t="s">
        <v>1009</v>
      </c>
      <c r="D18" s="10" t="s">
        <v>1015</v>
      </c>
      <c r="E18" s="11" t="s">
        <v>150</v>
      </c>
      <c r="F18" s="13" t="s">
        <v>124</v>
      </c>
      <c r="G18" s="10" t="s">
        <v>1016</v>
      </c>
      <c r="H18" s="10" t="s">
        <v>1017</v>
      </c>
      <c r="I18" s="10" t="s">
        <v>139</v>
      </c>
      <c r="J18" s="10" t="s">
        <v>1018</v>
      </c>
      <c r="K18" s="10" t="s">
        <v>16</v>
      </c>
      <c r="L18" s="13" t="s">
        <v>90</v>
      </c>
      <c r="M18" s="10" t="s">
        <v>16</v>
      </c>
      <c r="N18" s="14" t="s">
        <v>16</v>
      </c>
      <c r="O18" s="10" t="s">
        <v>16</v>
      </c>
    </row>
    <row r="19" ht="46" customHeight="1" spans="1:15" x14ac:dyDescent="0.25">
      <c r="A19" s="15" t="s">
        <v>1019</v>
      </c>
      <c r="B19" s="16" t="s">
        <v>795</v>
      </c>
      <c r="C19" s="16" t="s">
        <v>1009</v>
      </c>
      <c r="D19" s="16" t="s">
        <v>1020</v>
      </c>
      <c r="E19" s="17" t="s">
        <v>311</v>
      </c>
      <c r="F19" s="18" t="s">
        <v>85</v>
      </c>
      <c r="G19" s="16" t="s">
        <v>1021</v>
      </c>
      <c r="H19" s="16" t="s">
        <v>1022</v>
      </c>
      <c r="I19" s="16" t="s">
        <v>139</v>
      </c>
      <c r="J19" s="16" t="s">
        <v>1023</v>
      </c>
      <c r="K19" s="16" t="s">
        <v>16</v>
      </c>
      <c r="L19" s="19" t="s">
        <v>90</v>
      </c>
      <c r="M19" s="16" t="s">
        <v>16</v>
      </c>
      <c r="N19" s="20" t="s">
        <v>16</v>
      </c>
      <c r="O19" s="16" t="s">
        <v>16</v>
      </c>
    </row>
    <row r="20" ht="46" customHeight="1" spans="1:15" x14ac:dyDescent="0.25">
      <c r="A20" s="9" t="s">
        <v>1024</v>
      </c>
      <c r="B20" s="10" t="s">
        <v>795</v>
      </c>
      <c r="C20" s="10" t="s">
        <v>1009</v>
      </c>
      <c r="D20" s="10" t="s">
        <v>1025</v>
      </c>
      <c r="E20" s="11" t="s">
        <v>311</v>
      </c>
      <c r="F20" s="12" t="s">
        <v>85</v>
      </c>
      <c r="G20" s="10" t="s">
        <v>504</v>
      </c>
      <c r="H20" s="10" t="s">
        <v>1026</v>
      </c>
      <c r="I20" s="10" t="s">
        <v>139</v>
      </c>
      <c r="J20" s="10" t="s">
        <v>1027</v>
      </c>
      <c r="K20" s="10" t="s">
        <v>16</v>
      </c>
      <c r="L20" s="13" t="s">
        <v>90</v>
      </c>
      <c r="M20" s="10" t="s">
        <v>16</v>
      </c>
      <c r="N20" s="14" t="s">
        <v>16</v>
      </c>
      <c r="O20" s="10" t="s">
        <v>16</v>
      </c>
    </row>
    <row r="21" ht="46" customHeight="1" spans="1:15" x14ac:dyDescent="0.25">
      <c r="A21" s="15" t="s">
        <v>1028</v>
      </c>
      <c r="B21" s="16" t="s">
        <v>795</v>
      </c>
      <c r="C21" s="16" t="s">
        <v>1029</v>
      </c>
      <c r="D21" s="16" t="s">
        <v>1030</v>
      </c>
      <c r="E21" s="17" t="s">
        <v>93</v>
      </c>
      <c r="F21" s="18" t="s">
        <v>85</v>
      </c>
      <c r="G21" s="16" t="s">
        <v>1031</v>
      </c>
      <c r="H21" s="16" t="s">
        <v>1032</v>
      </c>
      <c r="I21" s="16" t="s">
        <v>139</v>
      </c>
      <c r="J21" s="16" t="s">
        <v>1033</v>
      </c>
      <c r="K21" s="16" t="s">
        <v>16</v>
      </c>
      <c r="L21" s="19" t="s">
        <v>90</v>
      </c>
      <c r="M21" s="16" t="s">
        <v>16</v>
      </c>
      <c r="N21" s="20" t="s">
        <v>16</v>
      </c>
      <c r="O21" s="16" t="s">
        <v>16</v>
      </c>
    </row>
    <row r="22" ht="46" customHeight="1" spans="1:15" x14ac:dyDescent="0.25">
      <c r="A22" s="9" t="s">
        <v>1034</v>
      </c>
      <c r="B22" s="10" t="s">
        <v>795</v>
      </c>
      <c r="C22" s="10" t="s">
        <v>1035</v>
      </c>
      <c r="D22" s="10" t="s">
        <v>1036</v>
      </c>
      <c r="E22" s="11" t="s">
        <v>93</v>
      </c>
      <c r="F22" s="12" t="s">
        <v>85</v>
      </c>
      <c r="G22" s="10" t="s">
        <v>1037</v>
      </c>
      <c r="H22" s="10" t="s">
        <v>1038</v>
      </c>
      <c r="I22" s="10" t="s">
        <v>1039</v>
      </c>
      <c r="J22" s="10" t="s">
        <v>1040</v>
      </c>
      <c r="K22" s="10" t="s">
        <v>16</v>
      </c>
      <c r="L22" s="13" t="s">
        <v>90</v>
      </c>
      <c r="M22" s="10" t="s">
        <v>16</v>
      </c>
      <c r="N22" s="14" t="s">
        <v>16</v>
      </c>
      <c r="O22" s="10" t="s">
        <v>16</v>
      </c>
    </row>
    <row r="23" ht="46" customHeight="1" spans="1:15" x14ac:dyDescent="0.25">
      <c r="A23" s="15" t="s">
        <v>1041</v>
      </c>
      <c r="B23" s="16" t="s">
        <v>795</v>
      </c>
      <c r="C23" s="16" t="s">
        <v>1035</v>
      </c>
      <c r="D23" s="16" t="s">
        <v>1042</v>
      </c>
      <c r="E23" s="17" t="s">
        <v>150</v>
      </c>
      <c r="F23" s="19" t="s">
        <v>124</v>
      </c>
      <c r="G23" s="16" t="s">
        <v>1043</v>
      </c>
      <c r="H23" s="16" t="s">
        <v>1044</v>
      </c>
      <c r="I23" s="16" t="s">
        <v>139</v>
      </c>
      <c r="J23" s="16" t="s">
        <v>1045</v>
      </c>
      <c r="K23" s="16" t="s">
        <v>16</v>
      </c>
      <c r="L23" s="19" t="s">
        <v>90</v>
      </c>
      <c r="M23" s="16" t="s">
        <v>16</v>
      </c>
      <c r="N23" s="20" t="s">
        <v>16</v>
      </c>
      <c r="O23" s="16" t="s">
        <v>16</v>
      </c>
    </row>
    <row r="24" ht="46" customHeight="1" spans="1:15" x14ac:dyDescent="0.25">
      <c r="A24" s="9" t="s">
        <v>1046</v>
      </c>
      <c r="B24" s="10" t="s">
        <v>795</v>
      </c>
      <c r="C24" s="10" t="s">
        <v>1035</v>
      </c>
      <c r="D24" s="10" t="s">
        <v>1047</v>
      </c>
      <c r="E24" s="11" t="s">
        <v>150</v>
      </c>
      <c r="F24" s="12" t="s">
        <v>85</v>
      </c>
      <c r="G24" s="10" t="s">
        <v>1048</v>
      </c>
      <c r="H24" s="10" t="s">
        <v>1049</v>
      </c>
      <c r="I24" s="10" t="s">
        <v>139</v>
      </c>
      <c r="J24" s="10" t="s">
        <v>1050</v>
      </c>
      <c r="K24" s="10" t="s">
        <v>16</v>
      </c>
      <c r="L24" s="13" t="s">
        <v>90</v>
      </c>
      <c r="M24" s="10" t="s">
        <v>16</v>
      </c>
      <c r="N24" s="14" t="s">
        <v>16</v>
      </c>
      <c r="O24" s="10" t="s">
        <v>16</v>
      </c>
    </row>
    <row r="25" ht="46" customHeight="1" spans="1:15" x14ac:dyDescent="0.25">
      <c r="A25" s="15" t="s">
        <v>1051</v>
      </c>
      <c r="B25" s="16" t="s">
        <v>795</v>
      </c>
      <c r="C25" s="16" t="s">
        <v>1035</v>
      </c>
      <c r="D25" s="16" t="s">
        <v>1052</v>
      </c>
      <c r="E25" s="17" t="s">
        <v>150</v>
      </c>
      <c r="F25" s="18" t="s">
        <v>85</v>
      </c>
      <c r="G25" s="16" t="s">
        <v>1053</v>
      </c>
      <c r="H25" s="16" t="s">
        <v>1054</v>
      </c>
      <c r="I25" s="16" t="s">
        <v>139</v>
      </c>
      <c r="J25" s="16" t="s">
        <v>1055</v>
      </c>
      <c r="K25" s="16" t="s">
        <v>16</v>
      </c>
      <c r="L25" s="19" t="s">
        <v>90</v>
      </c>
      <c r="M25" s="16" t="s">
        <v>16</v>
      </c>
      <c r="N25" s="20" t="s">
        <v>16</v>
      </c>
      <c r="O25" s="16" t="s">
        <v>16</v>
      </c>
    </row>
    <row r="26" ht="46" customHeight="1" spans="1:15" x14ac:dyDescent="0.25">
      <c r="A26" s="9" t="s">
        <v>1056</v>
      </c>
      <c r="B26" s="10" t="s">
        <v>795</v>
      </c>
      <c r="C26" s="10" t="s">
        <v>1035</v>
      </c>
      <c r="D26" s="10" t="s">
        <v>1057</v>
      </c>
      <c r="E26" s="11" t="s">
        <v>84</v>
      </c>
      <c r="F26" s="12" t="s">
        <v>85</v>
      </c>
      <c r="G26" s="10" t="s">
        <v>1058</v>
      </c>
      <c r="H26" s="10" t="s">
        <v>1059</v>
      </c>
      <c r="I26" s="10" t="s">
        <v>1060</v>
      </c>
      <c r="J26" s="10" t="s">
        <v>1061</v>
      </c>
      <c r="K26" s="10" t="s">
        <v>16</v>
      </c>
      <c r="L26" s="13" t="s">
        <v>90</v>
      </c>
      <c r="M26" s="10" t="s">
        <v>16</v>
      </c>
      <c r="N26" s="14" t="s">
        <v>16</v>
      </c>
      <c r="O26" s="10" t="s">
        <v>16</v>
      </c>
    </row>
    <row r="27" ht="46" customHeight="1" spans="1:15" x14ac:dyDescent="0.25">
      <c r="A27" s="15" t="s">
        <v>1062</v>
      </c>
      <c r="B27" s="16" t="s">
        <v>795</v>
      </c>
      <c r="C27" s="16" t="s">
        <v>1063</v>
      </c>
      <c r="D27" s="16" t="s">
        <v>1064</v>
      </c>
      <c r="E27" s="17" t="s">
        <v>93</v>
      </c>
      <c r="F27" s="18" t="s">
        <v>85</v>
      </c>
      <c r="G27" s="16" t="s">
        <v>1065</v>
      </c>
      <c r="H27" s="16" t="s">
        <v>1066</v>
      </c>
      <c r="I27" s="16" t="s">
        <v>1067</v>
      </c>
      <c r="J27" s="16" t="s">
        <v>1068</v>
      </c>
      <c r="K27" s="16" t="s">
        <v>16</v>
      </c>
      <c r="L27" s="19" t="s">
        <v>90</v>
      </c>
      <c r="M27" s="16" t="s">
        <v>16</v>
      </c>
      <c r="N27" s="20" t="s">
        <v>16</v>
      </c>
      <c r="O27" s="16" t="s">
        <v>16</v>
      </c>
    </row>
    <row r="28" ht="56" customHeight="1" spans="1:15" x14ac:dyDescent="0.25">
      <c r="A28" s="9" t="s">
        <v>1069</v>
      </c>
      <c r="B28" s="10" t="s">
        <v>795</v>
      </c>
      <c r="C28" s="10" t="s">
        <v>1063</v>
      </c>
      <c r="D28" s="10" t="s">
        <v>1070</v>
      </c>
      <c r="E28" s="11" t="s">
        <v>93</v>
      </c>
      <c r="F28" s="12" t="s">
        <v>85</v>
      </c>
      <c r="G28" s="10" t="s">
        <v>1071</v>
      </c>
      <c r="H28" s="10" t="s">
        <v>1072</v>
      </c>
      <c r="I28" s="10" t="s">
        <v>1073</v>
      </c>
      <c r="J28" s="10" t="s">
        <v>1074</v>
      </c>
      <c r="K28" s="10" t="s">
        <v>16</v>
      </c>
      <c r="L28" s="13" t="s">
        <v>90</v>
      </c>
      <c r="M28" s="10" t="s">
        <v>16</v>
      </c>
      <c r="N28" s="14" t="s">
        <v>16</v>
      </c>
      <c r="O28" s="10" t="s">
        <v>16</v>
      </c>
    </row>
    <row r="29" ht="46" customHeight="1" spans="1:15" x14ac:dyDescent="0.25">
      <c r="A29" s="15" t="s">
        <v>1075</v>
      </c>
      <c r="B29" s="16" t="s">
        <v>795</v>
      </c>
      <c r="C29" s="16" t="s">
        <v>1063</v>
      </c>
      <c r="D29" s="16" t="s">
        <v>1076</v>
      </c>
      <c r="E29" s="17" t="s">
        <v>84</v>
      </c>
      <c r="F29" s="18" t="s">
        <v>85</v>
      </c>
      <c r="G29" s="16" t="s">
        <v>1077</v>
      </c>
      <c r="H29" s="16" t="s">
        <v>1078</v>
      </c>
      <c r="I29" s="16" t="s">
        <v>139</v>
      </c>
      <c r="J29" s="16" t="s">
        <v>1079</v>
      </c>
      <c r="K29" s="16" t="s">
        <v>16</v>
      </c>
      <c r="L29" s="19" t="s">
        <v>90</v>
      </c>
      <c r="M29" s="16" t="s">
        <v>16</v>
      </c>
      <c r="N29" s="20" t="s">
        <v>16</v>
      </c>
      <c r="O29" s="16" t="s">
        <v>16</v>
      </c>
    </row>
    <row r="30" ht="46" customHeight="1" spans="1:15" x14ac:dyDescent="0.25">
      <c r="A30" s="9" t="s">
        <v>1080</v>
      </c>
      <c r="B30" s="10" t="s">
        <v>795</v>
      </c>
      <c r="C30" s="10" t="s">
        <v>1063</v>
      </c>
      <c r="D30" s="10" t="s">
        <v>1081</v>
      </c>
      <c r="E30" s="11" t="s">
        <v>150</v>
      </c>
      <c r="F30" s="13" t="s">
        <v>124</v>
      </c>
      <c r="G30" s="10" t="s">
        <v>1082</v>
      </c>
      <c r="H30" s="10" t="s">
        <v>1083</v>
      </c>
      <c r="I30" s="10" t="s">
        <v>139</v>
      </c>
      <c r="J30" s="10" t="s">
        <v>1084</v>
      </c>
      <c r="K30" s="10" t="s">
        <v>16</v>
      </c>
      <c r="L30" s="13" t="s">
        <v>90</v>
      </c>
      <c r="M30" s="10" t="s">
        <v>16</v>
      </c>
      <c r="N30" s="14" t="s">
        <v>16</v>
      </c>
      <c r="O30" s="10" t="s">
        <v>16</v>
      </c>
    </row>
    <row r="31" ht="56" customHeight="1" spans="1:15" x14ac:dyDescent="0.25">
      <c r="A31" s="15" t="s">
        <v>1085</v>
      </c>
      <c r="B31" s="16" t="s">
        <v>795</v>
      </c>
      <c r="C31" s="16" t="s">
        <v>1063</v>
      </c>
      <c r="D31" s="16" t="s">
        <v>1086</v>
      </c>
      <c r="E31" s="17" t="s">
        <v>93</v>
      </c>
      <c r="F31" s="18" t="s">
        <v>85</v>
      </c>
      <c r="G31" s="16" t="s">
        <v>1087</v>
      </c>
      <c r="H31" s="16" t="s">
        <v>1088</v>
      </c>
      <c r="I31" s="16" t="s">
        <v>139</v>
      </c>
      <c r="J31" s="16" t="s">
        <v>1089</v>
      </c>
      <c r="K31" s="16" t="s">
        <v>16</v>
      </c>
      <c r="L31" s="19" t="s">
        <v>90</v>
      </c>
      <c r="M31" s="16" t="s">
        <v>16</v>
      </c>
      <c r="N31" s="20" t="s">
        <v>16</v>
      </c>
      <c r="O31" s="16" t="s">
        <v>16</v>
      </c>
    </row>
    <row r="32" ht="46" customHeight="1" spans="1:15" x14ac:dyDescent="0.25">
      <c r="A32" s="9" t="s">
        <v>1090</v>
      </c>
      <c r="B32" s="10" t="s">
        <v>795</v>
      </c>
      <c r="C32" s="10" t="s">
        <v>1091</v>
      </c>
      <c r="D32" s="10" t="s">
        <v>1092</v>
      </c>
      <c r="E32" s="11" t="s">
        <v>230</v>
      </c>
      <c r="F32" s="12" t="s">
        <v>85</v>
      </c>
      <c r="G32" s="10" t="s">
        <v>1093</v>
      </c>
      <c r="H32" s="10" t="s">
        <v>1094</v>
      </c>
      <c r="I32" s="10" t="s">
        <v>139</v>
      </c>
      <c r="J32" s="10" t="s">
        <v>1095</v>
      </c>
      <c r="K32" s="10" t="s">
        <v>16</v>
      </c>
      <c r="L32" s="13" t="s">
        <v>90</v>
      </c>
      <c r="M32" s="10" t="s">
        <v>16</v>
      </c>
      <c r="N32" s="14" t="s">
        <v>16</v>
      </c>
      <c r="O32" s="10" t="s">
        <v>16</v>
      </c>
    </row>
    <row r="33" ht="46" customHeight="1" spans="1:15" x14ac:dyDescent="0.25">
      <c r="A33" s="15" t="s">
        <v>1096</v>
      </c>
      <c r="B33" s="16" t="s">
        <v>795</v>
      </c>
      <c r="C33" s="16" t="s">
        <v>1091</v>
      </c>
      <c r="D33" s="16" t="s">
        <v>1097</v>
      </c>
      <c r="E33" s="17" t="s">
        <v>93</v>
      </c>
      <c r="F33" s="19" t="s">
        <v>124</v>
      </c>
      <c r="G33" s="16" t="s">
        <v>1098</v>
      </c>
      <c r="H33" s="16" t="s">
        <v>1099</v>
      </c>
      <c r="I33" s="16" t="s">
        <v>139</v>
      </c>
      <c r="J33" s="16" t="s">
        <v>1100</v>
      </c>
      <c r="K33" s="16" t="s">
        <v>16</v>
      </c>
      <c r="L33" s="19" t="s">
        <v>90</v>
      </c>
      <c r="M33" s="16" t="s">
        <v>16</v>
      </c>
      <c r="N33" s="20" t="s">
        <v>16</v>
      </c>
      <c r="O33" s="16" t="s">
        <v>16</v>
      </c>
    </row>
    <row r="34" ht="46" customHeight="1" spans="1:15" x14ac:dyDescent="0.25">
      <c r="A34" s="9" t="s">
        <v>1101</v>
      </c>
      <c r="B34" s="10" t="s">
        <v>795</v>
      </c>
      <c r="C34" s="10" t="s">
        <v>1102</v>
      </c>
      <c r="D34" s="10" t="s">
        <v>1103</v>
      </c>
      <c r="E34" s="11" t="s">
        <v>84</v>
      </c>
      <c r="F34" s="13" t="s">
        <v>124</v>
      </c>
      <c r="G34" s="10" t="s">
        <v>1104</v>
      </c>
      <c r="H34" s="10" t="s">
        <v>1105</v>
      </c>
      <c r="I34" s="10" t="s">
        <v>139</v>
      </c>
      <c r="J34" s="10" t="s">
        <v>1106</v>
      </c>
      <c r="K34" s="10" t="s">
        <v>16</v>
      </c>
      <c r="L34" s="13" t="s">
        <v>90</v>
      </c>
      <c r="M34" s="10" t="s">
        <v>16</v>
      </c>
      <c r="N34" s="14" t="s">
        <v>16</v>
      </c>
      <c r="O34" s="10" t="s">
        <v>16</v>
      </c>
    </row>
    <row r="35" ht="46" customHeight="1" spans="1:15" x14ac:dyDescent="0.25">
      <c r="A35" s="15" t="s">
        <v>1107</v>
      </c>
      <c r="B35" s="16" t="s">
        <v>795</v>
      </c>
      <c r="C35" s="16" t="s">
        <v>698</v>
      </c>
      <c r="D35" s="16" t="s">
        <v>1108</v>
      </c>
      <c r="E35" s="17" t="s">
        <v>150</v>
      </c>
      <c r="F35" s="18" t="s">
        <v>85</v>
      </c>
      <c r="G35" s="16" t="s">
        <v>1109</v>
      </c>
      <c r="H35" s="16" t="s">
        <v>1110</v>
      </c>
      <c r="I35" s="16" t="s">
        <v>1111</v>
      </c>
      <c r="J35" s="16" t="s">
        <v>1112</v>
      </c>
      <c r="K35" s="16" t="s">
        <v>16</v>
      </c>
      <c r="L35" s="19" t="s">
        <v>90</v>
      </c>
      <c r="M35" s="16" t="s">
        <v>16</v>
      </c>
      <c r="N35" s="20" t="s">
        <v>16</v>
      </c>
      <c r="O35" s="16" t="s">
        <v>16</v>
      </c>
    </row>
  </sheetData>
  <autoFilter ref="A3:O35"/>
  <mergeCells count="2">
    <mergeCell ref="A1:O1"/>
    <mergeCell ref="A2:O2"/>
  </mergeCells>
  <conditionalFormatting sqref="L4:L35">
    <cfRule type="containsText" dxfId="18" priority="1">
      <formula>NOT(ISERROR(SEARCH("Pass",L4)))</formula>
    </cfRule>
    <cfRule type="containsText" dxfId="19" priority="2">
      <formula>NOT(ISERROR(SEARCH("Fail",L4)))</formula>
    </cfRule>
    <cfRule type="containsText" dxfId="20" priority="3">
      <formula>NOT(ISERROR(SEARCH("Blocked",L4)))</formula>
    </cfRule>
  </conditionalFormatting>
  <dataValidations count="2">
    <dataValidation type="list" showErrorMessage="1" errorTitle="Invalid status" error="Choose: Not Executed, Pass, Fail, Blocked or N/A" sqref="L10:L35">
      <formula1>"Not Executed,Pass,Fail,Blocked,N/A"</formula1>
    </dataValidation>
    <dataValidation type="list" showErrorMessage="1" errorTitle="Invalid status" error="Choose: Not Executed, Pass, Fail, Blocked or N/A" sqref="L4:L35">
      <formula1>"Not Executed,Pass,Fail,Blocked,N/A"</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
  <sheetViews>
    <sheetView workbookViewId="0" zoomScale="90">
      <pane xSplit="1" ySplit="3" topLeftCell="B4" activePane="bottomRight" state="frozen"/>
      <selection pane="bottomRight"/>
    </sheetView>
  </sheetViews>
  <sheetFormatPr defaultRowHeight="15" outlineLevelRow="0" outlineLevelCol="0" x14ac:dyDescent="55"/>
  <cols>
    <col min="1" max="1" width="12" customWidth="1"/>
    <col min="2" max="2" width="20" customWidth="1"/>
    <col min="3" max="3" width="22" customWidth="1"/>
    <col min="4" max="4" width="46" customWidth="1"/>
    <col min="5" max="5" width="14" customWidth="1"/>
    <col min="6" max="6" width="10" customWidth="1"/>
    <col min="7" max="7" width="38" customWidth="1"/>
    <col min="8" max="8" width="50" customWidth="1"/>
    <col min="9" max="9" width="26" customWidth="1"/>
    <col min="10" max="10" width="66" customWidth="1"/>
    <col min="11" max="11" width="30" customWidth="1"/>
    <col min="12" max="14" width="14" customWidth="1"/>
    <col min="15" max="15" width="26" customWidth="1"/>
  </cols>
  <sheetData>
    <row r="1" ht="28" customHeight="1" spans="1:15" x14ac:dyDescent="0.25">
      <c r="A1" s="6" t="s">
        <v>1113</v>
      </c>
      <c r="B1" s="6"/>
      <c r="C1" s="6"/>
      <c r="D1" s="6"/>
      <c r="E1" s="6"/>
      <c r="F1" s="6"/>
      <c r="G1" s="6"/>
      <c r="H1" s="6"/>
      <c r="I1" s="6"/>
      <c r="J1" s="6"/>
      <c r="K1" s="6"/>
      <c r="L1" s="6"/>
      <c r="M1" s="6"/>
      <c r="N1" s="6"/>
      <c r="O1" s="6"/>
    </row>
    <row r="2" ht="20" customHeight="1" spans="1:15" x14ac:dyDescent="0.25">
      <c r="A2" s="7" t="s">
        <v>1114</v>
      </c>
      <c r="B2" s="7"/>
      <c r="C2" s="7"/>
      <c r="D2" s="7"/>
      <c r="E2" s="7"/>
      <c r="F2" s="7"/>
      <c r="G2" s="7"/>
      <c r="H2" s="7"/>
      <c r="I2" s="7"/>
      <c r="J2" s="7"/>
      <c r="K2" s="7"/>
      <c r="L2" s="7"/>
      <c r="M2" s="7"/>
      <c r="N2" s="7"/>
      <c r="O2" s="7"/>
    </row>
    <row r="3" ht="30" customHeight="1" spans="1:15" x14ac:dyDescent="0.25">
      <c r="A3" s="8" t="s">
        <v>65</v>
      </c>
      <c r="B3" s="8" t="s">
        <v>66</v>
      </c>
      <c r="C3" s="8" t="s">
        <v>67</v>
      </c>
      <c r="D3" s="8" t="s">
        <v>68</v>
      </c>
      <c r="E3" s="8" t="s">
        <v>69</v>
      </c>
      <c r="F3" s="8" t="s">
        <v>70</v>
      </c>
      <c r="G3" s="8" t="s">
        <v>71</v>
      </c>
      <c r="H3" s="8" t="s">
        <v>72</v>
      </c>
      <c r="I3" s="8" t="s">
        <v>73</v>
      </c>
      <c r="J3" s="8" t="s">
        <v>74</v>
      </c>
      <c r="K3" s="8" t="s">
        <v>75</v>
      </c>
      <c r="L3" s="8" t="s">
        <v>76</v>
      </c>
      <c r="M3" s="8" t="s">
        <v>77</v>
      </c>
      <c r="N3" s="8" t="s">
        <v>78</v>
      </c>
      <c r="O3" s="8" t="s">
        <v>79</v>
      </c>
    </row>
    <row r="4" ht="46" customHeight="1" spans="1:15" x14ac:dyDescent="0.25">
      <c r="A4" s="9" t="s">
        <v>1115</v>
      </c>
      <c r="B4" s="10" t="s">
        <v>1116</v>
      </c>
      <c r="C4" s="10" t="s">
        <v>1117</v>
      </c>
      <c r="D4" s="10" t="s">
        <v>1118</v>
      </c>
      <c r="E4" s="11" t="s">
        <v>93</v>
      </c>
      <c r="F4" s="12" t="s">
        <v>85</v>
      </c>
      <c r="G4" s="10" t="s">
        <v>1119</v>
      </c>
      <c r="H4" s="10" t="s">
        <v>1120</v>
      </c>
      <c r="I4" s="10" t="s">
        <v>139</v>
      </c>
      <c r="J4" s="10" t="s">
        <v>1121</v>
      </c>
      <c r="K4" s="10" t="s">
        <v>16</v>
      </c>
      <c r="L4" s="13" t="s">
        <v>90</v>
      </c>
      <c r="M4" s="10" t="s">
        <v>16</v>
      </c>
      <c r="N4" s="14" t="s">
        <v>16</v>
      </c>
      <c r="O4" s="10" t="s">
        <v>16</v>
      </c>
    </row>
    <row r="5" ht="46" customHeight="1" spans="1:15" x14ac:dyDescent="0.25">
      <c r="A5" s="15" t="s">
        <v>1122</v>
      </c>
      <c r="B5" s="16" t="s">
        <v>1116</v>
      </c>
      <c r="C5" s="16" t="s">
        <v>1117</v>
      </c>
      <c r="D5" s="16" t="s">
        <v>1123</v>
      </c>
      <c r="E5" s="17" t="s">
        <v>93</v>
      </c>
      <c r="F5" s="18" t="s">
        <v>85</v>
      </c>
      <c r="G5" s="16" t="s">
        <v>1124</v>
      </c>
      <c r="H5" s="16" t="s">
        <v>1125</v>
      </c>
      <c r="I5" s="16" t="s">
        <v>139</v>
      </c>
      <c r="J5" s="16" t="s">
        <v>1126</v>
      </c>
      <c r="K5" s="16" t="s">
        <v>16</v>
      </c>
      <c r="L5" s="19" t="s">
        <v>90</v>
      </c>
      <c r="M5" s="16" t="s">
        <v>16</v>
      </c>
      <c r="N5" s="20" t="s">
        <v>16</v>
      </c>
      <c r="O5" s="16" t="s">
        <v>16</v>
      </c>
    </row>
    <row r="6" ht="46" customHeight="1" spans="1:15" x14ac:dyDescent="0.25">
      <c r="A6" s="9" t="s">
        <v>1127</v>
      </c>
      <c r="B6" s="10" t="s">
        <v>1116</v>
      </c>
      <c r="C6" s="10" t="s">
        <v>1117</v>
      </c>
      <c r="D6" s="10" t="s">
        <v>1128</v>
      </c>
      <c r="E6" s="11" t="s">
        <v>93</v>
      </c>
      <c r="F6" s="13" t="s">
        <v>124</v>
      </c>
      <c r="G6" s="10" t="s">
        <v>1129</v>
      </c>
      <c r="H6" s="10" t="s">
        <v>1130</v>
      </c>
      <c r="I6" s="10" t="s">
        <v>139</v>
      </c>
      <c r="J6" s="10" t="s">
        <v>1131</v>
      </c>
      <c r="K6" s="10" t="s">
        <v>16</v>
      </c>
      <c r="L6" s="13" t="s">
        <v>90</v>
      </c>
      <c r="M6" s="10" t="s">
        <v>16</v>
      </c>
      <c r="N6" s="14" t="s">
        <v>16</v>
      </c>
      <c r="O6" s="10" t="s">
        <v>16</v>
      </c>
    </row>
    <row r="7" ht="46" customHeight="1" spans="1:15" x14ac:dyDescent="0.25">
      <c r="A7" s="15" t="s">
        <v>1132</v>
      </c>
      <c r="B7" s="16" t="s">
        <v>1116</v>
      </c>
      <c r="C7" s="16" t="s">
        <v>1133</v>
      </c>
      <c r="D7" s="16" t="s">
        <v>1134</v>
      </c>
      <c r="E7" s="17" t="s">
        <v>311</v>
      </c>
      <c r="F7" s="18" t="s">
        <v>85</v>
      </c>
      <c r="G7" s="16" t="s">
        <v>1135</v>
      </c>
      <c r="H7" s="16" t="s">
        <v>1136</v>
      </c>
      <c r="I7" s="16" t="s">
        <v>1137</v>
      </c>
      <c r="J7" s="16" t="s">
        <v>1138</v>
      </c>
      <c r="K7" s="16" t="s">
        <v>16</v>
      </c>
      <c r="L7" s="19" t="s">
        <v>90</v>
      </c>
      <c r="M7" s="16" t="s">
        <v>16</v>
      </c>
      <c r="N7" s="20" t="s">
        <v>16</v>
      </c>
      <c r="O7" s="16" t="s">
        <v>16</v>
      </c>
    </row>
    <row r="8" ht="46" customHeight="1" spans="1:15" x14ac:dyDescent="0.25">
      <c r="A8" s="9" t="s">
        <v>1139</v>
      </c>
      <c r="B8" s="10" t="s">
        <v>1116</v>
      </c>
      <c r="C8" s="10" t="s">
        <v>1140</v>
      </c>
      <c r="D8" s="10" t="s">
        <v>1141</v>
      </c>
      <c r="E8" s="11" t="s">
        <v>93</v>
      </c>
      <c r="F8" s="12" t="s">
        <v>85</v>
      </c>
      <c r="G8" s="10" t="s">
        <v>1142</v>
      </c>
      <c r="H8" s="10" t="s">
        <v>1143</v>
      </c>
      <c r="I8" s="10" t="s">
        <v>1144</v>
      </c>
      <c r="J8" s="10" t="s">
        <v>1145</v>
      </c>
      <c r="K8" s="10" t="s">
        <v>16</v>
      </c>
      <c r="L8" s="13" t="s">
        <v>90</v>
      </c>
      <c r="M8" s="10" t="s">
        <v>16</v>
      </c>
      <c r="N8" s="14" t="s">
        <v>16</v>
      </c>
      <c r="O8" s="10" t="s">
        <v>16</v>
      </c>
    </row>
    <row r="9" ht="46" customHeight="1" spans="1:15" x14ac:dyDescent="0.25">
      <c r="A9" s="15" t="s">
        <v>1146</v>
      </c>
      <c r="B9" s="16" t="s">
        <v>1116</v>
      </c>
      <c r="C9" s="16" t="s">
        <v>1140</v>
      </c>
      <c r="D9" s="16" t="s">
        <v>1147</v>
      </c>
      <c r="E9" s="17" t="s">
        <v>93</v>
      </c>
      <c r="F9" s="18" t="s">
        <v>85</v>
      </c>
      <c r="G9" s="16" t="s">
        <v>1148</v>
      </c>
      <c r="H9" s="16" t="s">
        <v>964</v>
      </c>
      <c r="I9" s="16" t="s">
        <v>139</v>
      </c>
      <c r="J9" s="16" t="s">
        <v>1149</v>
      </c>
      <c r="K9" s="16" t="s">
        <v>16</v>
      </c>
      <c r="L9" s="19" t="s">
        <v>90</v>
      </c>
      <c r="M9" s="16" t="s">
        <v>16</v>
      </c>
      <c r="N9" s="20" t="s">
        <v>16</v>
      </c>
      <c r="O9" s="16" t="s">
        <v>16</v>
      </c>
    </row>
    <row r="10" ht="46" customHeight="1" spans="1:15" x14ac:dyDescent="0.25">
      <c r="A10" s="9" t="s">
        <v>1150</v>
      </c>
      <c r="B10" s="10" t="s">
        <v>1116</v>
      </c>
      <c r="C10" s="10" t="s">
        <v>1140</v>
      </c>
      <c r="D10" s="10" t="s">
        <v>1151</v>
      </c>
      <c r="E10" s="11" t="s">
        <v>311</v>
      </c>
      <c r="F10" s="12" t="s">
        <v>85</v>
      </c>
      <c r="G10" s="10" t="s">
        <v>1152</v>
      </c>
      <c r="H10" s="10" t="s">
        <v>1153</v>
      </c>
      <c r="I10" s="10" t="s">
        <v>1154</v>
      </c>
      <c r="J10" s="10" t="s">
        <v>1155</v>
      </c>
      <c r="K10" s="10" t="s">
        <v>16</v>
      </c>
      <c r="L10" s="13" t="s">
        <v>90</v>
      </c>
      <c r="M10" s="10" t="s">
        <v>16</v>
      </c>
      <c r="N10" s="14" t="s">
        <v>16</v>
      </c>
      <c r="O10" s="10" t="s">
        <v>16</v>
      </c>
    </row>
    <row r="11" ht="46" customHeight="1" spans="1:15" x14ac:dyDescent="0.25">
      <c r="A11" s="15" t="s">
        <v>1156</v>
      </c>
      <c r="B11" s="16" t="s">
        <v>1116</v>
      </c>
      <c r="C11" s="16" t="s">
        <v>1157</v>
      </c>
      <c r="D11" s="16" t="s">
        <v>1158</v>
      </c>
      <c r="E11" s="17" t="s">
        <v>84</v>
      </c>
      <c r="F11" s="18" t="s">
        <v>85</v>
      </c>
      <c r="G11" s="16" t="s">
        <v>1159</v>
      </c>
      <c r="H11" s="16" t="s">
        <v>1160</v>
      </c>
      <c r="I11" s="16" t="s">
        <v>139</v>
      </c>
      <c r="J11" s="16" t="s">
        <v>1161</v>
      </c>
      <c r="K11" s="16" t="s">
        <v>16</v>
      </c>
      <c r="L11" s="19" t="s">
        <v>90</v>
      </c>
      <c r="M11" s="16" t="s">
        <v>16</v>
      </c>
      <c r="N11" s="20" t="s">
        <v>16</v>
      </c>
      <c r="O11" s="16" t="s">
        <v>16</v>
      </c>
    </row>
    <row r="12" ht="46" customHeight="1" spans="1:15" x14ac:dyDescent="0.25">
      <c r="A12" s="9" t="s">
        <v>1162</v>
      </c>
      <c r="B12" s="10" t="s">
        <v>1116</v>
      </c>
      <c r="C12" s="10" t="s">
        <v>1157</v>
      </c>
      <c r="D12" s="10" t="s">
        <v>1163</v>
      </c>
      <c r="E12" s="11" t="s">
        <v>84</v>
      </c>
      <c r="F12" s="12" t="s">
        <v>85</v>
      </c>
      <c r="G12" s="10" t="s">
        <v>1164</v>
      </c>
      <c r="H12" s="10" t="s">
        <v>1160</v>
      </c>
      <c r="I12" s="10" t="s">
        <v>139</v>
      </c>
      <c r="J12" s="10" t="s">
        <v>1165</v>
      </c>
      <c r="K12" s="10" t="s">
        <v>16</v>
      </c>
      <c r="L12" s="13" t="s">
        <v>90</v>
      </c>
      <c r="M12" s="10" t="s">
        <v>16</v>
      </c>
      <c r="N12" s="14" t="s">
        <v>16</v>
      </c>
      <c r="O12" s="10" t="s">
        <v>16</v>
      </c>
    </row>
    <row r="13" ht="56" customHeight="1" spans="1:15" x14ac:dyDescent="0.25">
      <c r="A13" s="15" t="s">
        <v>1166</v>
      </c>
      <c r="B13" s="16" t="s">
        <v>1116</v>
      </c>
      <c r="C13" s="16" t="s">
        <v>1167</v>
      </c>
      <c r="D13" s="16" t="s">
        <v>1168</v>
      </c>
      <c r="E13" s="17" t="s">
        <v>93</v>
      </c>
      <c r="F13" s="18" t="s">
        <v>85</v>
      </c>
      <c r="G13" s="16" t="s">
        <v>1169</v>
      </c>
      <c r="H13" s="16" t="s">
        <v>1170</v>
      </c>
      <c r="I13" s="16" t="s">
        <v>1171</v>
      </c>
      <c r="J13" s="16" t="s">
        <v>1172</v>
      </c>
      <c r="K13" s="16" t="s">
        <v>16</v>
      </c>
      <c r="L13" s="19" t="s">
        <v>90</v>
      </c>
      <c r="M13" s="16" t="s">
        <v>16</v>
      </c>
      <c r="N13" s="20" t="s">
        <v>16</v>
      </c>
      <c r="O13" s="16" t="s">
        <v>16</v>
      </c>
    </row>
    <row r="14" ht="46" customHeight="1" spans="1:15" x14ac:dyDescent="0.25">
      <c r="A14" s="9" t="s">
        <v>1173</v>
      </c>
      <c r="B14" s="10" t="s">
        <v>1116</v>
      </c>
      <c r="C14" s="10" t="s">
        <v>1167</v>
      </c>
      <c r="D14" s="10" t="s">
        <v>1174</v>
      </c>
      <c r="E14" s="11" t="s">
        <v>311</v>
      </c>
      <c r="F14" s="12" t="s">
        <v>85</v>
      </c>
      <c r="G14" s="10" t="s">
        <v>1175</v>
      </c>
      <c r="H14" s="10" t="s">
        <v>1176</v>
      </c>
      <c r="I14" s="10" t="s">
        <v>1177</v>
      </c>
      <c r="J14" s="10" t="s">
        <v>1178</v>
      </c>
      <c r="K14" s="10" t="s">
        <v>16</v>
      </c>
      <c r="L14" s="13" t="s">
        <v>90</v>
      </c>
      <c r="M14" s="10" t="s">
        <v>16</v>
      </c>
      <c r="N14" s="14" t="s">
        <v>16</v>
      </c>
      <c r="O14" s="10" t="s">
        <v>16</v>
      </c>
    </row>
    <row r="15" ht="46" customHeight="1" spans="1:15" x14ac:dyDescent="0.25">
      <c r="A15" s="15" t="s">
        <v>1179</v>
      </c>
      <c r="B15" s="16" t="s">
        <v>1116</v>
      </c>
      <c r="C15" s="16" t="s">
        <v>1167</v>
      </c>
      <c r="D15" s="16" t="s">
        <v>1180</v>
      </c>
      <c r="E15" s="17" t="s">
        <v>311</v>
      </c>
      <c r="F15" s="18" t="s">
        <v>85</v>
      </c>
      <c r="G15" s="16" t="s">
        <v>1181</v>
      </c>
      <c r="H15" s="16" t="s">
        <v>1182</v>
      </c>
      <c r="I15" s="16" t="s">
        <v>139</v>
      </c>
      <c r="J15" s="16" t="s">
        <v>1183</v>
      </c>
      <c r="K15" s="16" t="s">
        <v>16</v>
      </c>
      <c r="L15" s="19" t="s">
        <v>90</v>
      </c>
      <c r="M15" s="16" t="s">
        <v>16</v>
      </c>
      <c r="N15" s="20" t="s">
        <v>16</v>
      </c>
      <c r="O15" s="16" t="s">
        <v>16</v>
      </c>
    </row>
    <row r="16" ht="46" customHeight="1" spans="1:15" x14ac:dyDescent="0.25">
      <c r="A16" s="9" t="s">
        <v>1184</v>
      </c>
      <c r="B16" s="10" t="s">
        <v>1116</v>
      </c>
      <c r="C16" s="10" t="s">
        <v>1167</v>
      </c>
      <c r="D16" s="10" t="s">
        <v>1185</v>
      </c>
      <c r="E16" s="11" t="s">
        <v>311</v>
      </c>
      <c r="F16" s="12" t="s">
        <v>85</v>
      </c>
      <c r="G16" s="10" t="s">
        <v>1186</v>
      </c>
      <c r="H16" s="10" t="s">
        <v>1187</v>
      </c>
      <c r="I16" s="10" t="s">
        <v>695</v>
      </c>
      <c r="J16" s="10" t="s">
        <v>1188</v>
      </c>
      <c r="K16" s="10" t="s">
        <v>16</v>
      </c>
      <c r="L16" s="13" t="s">
        <v>90</v>
      </c>
      <c r="M16" s="10" t="s">
        <v>16</v>
      </c>
      <c r="N16" s="14" t="s">
        <v>16</v>
      </c>
      <c r="O16" s="10" t="s">
        <v>16</v>
      </c>
    </row>
    <row r="17" ht="46" customHeight="1" spans="1:15" x14ac:dyDescent="0.25">
      <c r="A17" s="15" t="s">
        <v>1189</v>
      </c>
      <c r="B17" s="16" t="s">
        <v>1116</v>
      </c>
      <c r="C17" s="16" t="s">
        <v>1167</v>
      </c>
      <c r="D17" s="16" t="s">
        <v>1190</v>
      </c>
      <c r="E17" s="17" t="s">
        <v>311</v>
      </c>
      <c r="F17" s="18" t="s">
        <v>85</v>
      </c>
      <c r="G17" s="16" t="s">
        <v>1191</v>
      </c>
      <c r="H17" s="16" t="s">
        <v>1192</v>
      </c>
      <c r="I17" s="16" t="s">
        <v>139</v>
      </c>
      <c r="J17" s="16" t="s">
        <v>1193</v>
      </c>
      <c r="K17" s="16" t="s">
        <v>16</v>
      </c>
      <c r="L17" s="19" t="s">
        <v>90</v>
      </c>
      <c r="M17" s="16" t="s">
        <v>16</v>
      </c>
      <c r="N17" s="20" t="s">
        <v>16</v>
      </c>
      <c r="O17" s="16" t="s">
        <v>16</v>
      </c>
    </row>
    <row r="18" ht="56" customHeight="1" spans="1:15" x14ac:dyDescent="0.25">
      <c r="A18" s="9" t="s">
        <v>1194</v>
      </c>
      <c r="B18" s="10" t="s">
        <v>1116</v>
      </c>
      <c r="C18" s="10" t="s">
        <v>1091</v>
      </c>
      <c r="D18" s="10" t="s">
        <v>1195</v>
      </c>
      <c r="E18" s="11" t="s">
        <v>230</v>
      </c>
      <c r="F18" s="12" t="s">
        <v>85</v>
      </c>
      <c r="G18" s="10" t="s">
        <v>1196</v>
      </c>
      <c r="H18" s="10" t="s">
        <v>1197</v>
      </c>
      <c r="I18" s="10" t="s">
        <v>1198</v>
      </c>
      <c r="J18" s="10" t="s">
        <v>1199</v>
      </c>
      <c r="K18" s="10" t="s">
        <v>16</v>
      </c>
      <c r="L18" s="13" t="s">
        <v>90</v>
      </c>
      <c r="M18" s="10" t="s">
        <v>16</v>
      </c>
      <c r="N18" s="14" t="s">
        <v>16</v>
      </c>
      <c r="O18" s="10" t="s">
        <v>16</v>
      </c>
    </row>
    <row r="19" ht="46" customHeight="1" spans="1:15" x14ac:dyDescent="0.25">
      <c r="A19" s="15" t="s">
        <v>1200</v>
      </c>
      <c r="B19" s="16" t="s">
        <v>1116</v>
      </c>
      <c r="C19" s="16" t="s">
        <v>1201</v>
      </c>
      <c r="D19" s="16" t="s">
        <v>1202</v>
      </c>
      <c r="E19" s="17" t="s">
        <v>84</v>
      </c>
      <c r="F19" s="18" t="s">
        <v>85</v>
      </c>
      <c r="G19" s="16" t="s">
        <v>1203</v>
      </c>
      <c r="H19" s="16" t="s">
        <v>1204</v>
      </c>
      <c r="I19" s="16" t="s">
        <v>139</v>
      </c>
      <c r="J19" s="16" t="s">
        <v>1205</v>
      </c>
      <c r="K19" s="16" t="s">
        <v>16</v>
      </c>
      <c r="L19" s="19" t="s">
        <v>90</v>
      </c>
      <c r="M19" s="16" t="s">
        <v>16</v>
      </c>
      <c r="N19" s="20" t="s">
        <v>16</v>
      </c>
      <c r="O19" s="16" t="s">
        <v>16</v>
      </c>
    </row>
    <row r="20" ht="46" customHeight="1" spans="1:15" x14ac:dyDescent="0.25">
      <c r="A20" s="9" t="s">
        <v>1206</v>
      </c>
      <c r="B20" s="10" t="s">
        <v>1116</v>
      </c>
      <c r="C20" s="10" t="s">
        <v>1207</v>
      </c>
      <c r="D20" s="10" t="s">
        <v>1208</v>
      </c>
      <c r="E20" s="11" t="s">
        <v>305</v>
      </c>
      <c r="F20" s="13" t="s">
        <v>124</v>
      </c>
      <c r="G20" s="10" t="s">
        <v>1209</v>
      </c>
      <c r="H20" s="10" t="s">
        <v>1210</v>
      </c>
      <c r="I20" s="10" t="s">
        <v>139</v>
      </c>
      <c r="J20" s="10" t="s">
        <v>1211</v>
      </c>
      <c r="K20" s="10" t="s">
        <v>16</v>
      </c>
      <c r="L20" s="13" t="s">
        <v>90</v>
      </c>
      <c r="M20" s="10" t="s">
        <v>16</v>
      </c>
      <c r="N20" s="14" t="s">
        <v>16</v>
      </c>
      <c r="O20" s="10" t="s">
        <v>16</v>
      </c>
    </row>
    <row r="21" ht="46" customHeight="1" spans="1:15" x14ac:dyDescent="0.25">
      <c r="A21" s="15" t="s">
        <v>1212</v>
      </c>
      <c r="B21" s="16" t="s">
        <v>1116</v>
      </c>
      <c r="C21" s="16" t="s">
        <v>1213</v>
      </c>
      <c r="D21" s="16" t="s">
        <v>1214</v>
      </c>
      <c r="E21" s="17" t="s">
        <v>93</v>
      </c>
      <c r="F21" s="19" t="s">
        <v>124</v>
      </c>
      <c r="G21" s="16" t="s">
        <v>1215</v>
      </c>
      <c r="H21" s="16" t="s">
        <v>1216</v>
      </c>
      <c r="I21" s="16" t="s">
        <v>139</v>
      </c>
      <c r="J21" s="16" t="s">
        <v>1217</v>
      </c>
      <c r="K21" s="16" t="s">
        <v>16</v>
      </c>
      <c r="L21" s="19" t="s">
        <v>90</v>
      </c>
      <c r="M21" s="16" t="s">
        <v>16</v>
      </c>
      <c r="N21" s="20" t="s">
        <v>16</v>
      </c>
      <c r="O21" s="16" t="s">
        <v>16</v>
      </c>
    </row>
    <row r="22" ht="46" customHeight="1" spans="1:15" x14ac:dyDescent="0.25">
      <c r="A22" s="9" t="s">
        <v>1218</v>
      </c>
      <c r="B22" s="10" t="s">
        <v>1116</v>
      </c>
      <c r="C22" s="10" t="s">
        <v>1213</v>
      </c>
      <c r="D22" s="10" t="s">
        <v>1219</v>
      </c>
      <c r="E22" s="11" t="s">
        <v>150</v>
      </c>
      <c r="F22" s="13" t="s">
        <v>124</v>
      </c>
      <c r="G22" s="10" t="s">
        <v>1220</v>
      </c>
      <c r="H22" s="10" t="s">
        <v>1221</v>
      </c>
      <c r="I22" s="10" t="s">
        <v>139</v>
      </c>
      <c r="J22" s="10" t="s">
        <v>1222</v>
      </c>
      <c r="K22" s="10" t="s">
        <v>16</v>
      </c>
      <c r="L22" s="13" t="s">
        <v>90</v>
      </c>
      <c r="M22" s="10" t="s">
        <v>16</v>
      </c>
      <c r="N22" s="14" t="s">
        <v>16</v>
      </c>
      <c r="O22" s="10" t="s">
        <v>16</v>
      </c>
    </row>
  </sheetData>
  <autoFilter ref="A3:O22"/>
  <mergeCells count="2">
    <mergeCell ref="A1:O1"/>
    <mergeCell ref="A2:O2"/>
  </mergeCells>
  <conditionalFormatting sqref="L4:L22">
    <cfRule type="containsText" dxfId="21" priority="1">
      <formula>NOT(ISERROR(SEARCH("Pass",L4)))</formula>
    </cfRule>
    <cfRule type="containsText" dxfId="22" priority="2">
      <formula>NOT(ISERROR(SEARCH("Fail",L4)))</formula>
    </cfRule>
    <cfRule type="containsText" dxfId="23" priority="3">
      <formula>NOT(ISERROR(SEARCH("Blocked",L4)))</formula>
    </cfRule>
  </conditionalFormatting>
  <dataValidations count="2">
    <dataValidation type="list" showErrorMessage="1" errorTitle="Invalid status" error="Choose: Not Executed, Pass, Fail, Blocked or N/A" sqref="L10:L22">
      <formula1>"Not Executed,Pass,Fail,Blocked,N/A"</formula1>
    </dataValidation>
    <dataValidation type="list" showErrorMessage="1" errorTitle="Invalid status" error="Choose: Not Executed, Pass, Fail, Blocked or N/A" sqref="L4:L22">
      <formula1>"Not Executed,Pass,Fail,Blocked,N/A"</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
  <sheetViews>
    <sheetView workbookViewId="0" zoomScale="90">
      <pane xSplit="1" ySplit="3" topLeftCell="B4" activePane="bottomRight" state="frozen"/>
      <selection pane="bottomRight"/>
    </sheetView>
  </sheetViews>
  <sheetFormatPr defaultRowHeight="15" outlineLevelRow="0" outlineLevelCol="0" x14ac:dyDescent="55"/>
  <cols>
    <col min="1" max="1" width="12" customWidth="1"/>
    <col min="2" max="2" width="20" customWidth="1"/>
    <col min="3" max="3" width="22" customWidth="1"/>
    <col min="4" max="4" width="46" customWidth="1"/>
    <col min="5" max="5" width="14" customWidth="1"/>
    <col min="6" max="6" width="10" customWidth="1"/>
    <col min="7" max="7" width="38" customWidth="1"/>
    <col min="8" max="8" width="50" customWidth="1"/>
    <col min="9" max="9" width="26" customWidth="1"/>
    <col min="10" max="10" width="66" customWidth="1"/>
    <col min="11" max="11" width="30" customWidth="1"/>
    <col min="12" max="14" width="14" customWidth="1"/>
    <col min="15" max="15" width="26" customWidth="1"/>
  </cols>
  <sheetData>
    <row r="1" ht="28" customHeight="1" spans="1:15" x14ac:dyDescent="0.25">
      <c r="A1" s="6" t="s">
        <v>1223</v>
      </c>
      <c r="B1" s="6"/>
      <c r="C1" s="6"/>
      <c r="D1" s="6"/>
      <c r="E1" s="6"/>
      <c r="F1" s="6"/>
      <c r="G1" s="6"/>
      <c r="H1" s="6"/>
      <c r="I1" s="6"/>
      <c r="J1" s="6"/>
      <c r="K1" s="6"/>
      <c r="L1" s="6"/>
      <c r="M1" s="6"/>
      <c r="N1" s="6"/>
      <c r="O1" s="6"/>
    </row>
    <row r="2" ht="20" customHeight="1" spans="1:15" x14ac:dyDescent="0.25">
      <c r="A2" s="7" t="s">
        <v>1224</v>
      </c>
      <c r="B2" s="7"/>
      <c r="C2" s="7"/>
      <c r="D2" s="7"/>
      <c r="E2" s="7"/>
      <c r="F2" s="7"/>
      <c r="G2" s="7"/>
      <c r="H2" s="7"/>
      <c r="I2" s="7"/>
      <c r="J2" s="7"/>
      <c r="K2" s="7"/>
      <c r="L2" s="7"/>
      <c r="M2" s="7"/>
      <c r="N2" s="7"/>
      <c r="O2" s="7"/>
    </row>
    <row r="3" ht="30" customHeight="1" spans="1:15" x14ac:dyDescent="0.25">
      <c r="A3" s="8" t="s">
        <v>65</v>
      </c>
      <c r="B3" s="8" t="s">
        <v>66</v>
      </c>
      <c r="C3" s="8" t="s">
        <v>67</v>
      </c>
      <c r="D3" s="8" t="s">
        <v>68</v>
      </c>
      <c r="E3" s="8" t="s">
        <v>69</v>
      </c>
      <c r="F3" s="8" t="s">
        <v>70</v>
      </c>
      <c r="G3" s="8" t="s">
        <v>71</v>
      </c>
      <c r="H3" s="8" t="s">
        <v>72</v>
      </c>
      <c r="I3" s="8" t="s">
        <v>73</v>
      </c>
      <c r="J3" s="8" t="s">
        <v>74</v>
      </c>
      <c r="K3" s="8" t="s">
        <v>75</v>
      </c>
      <c r="L3" s="8" t="s">
        <v>76</v>
      </c>
      <c r="M3" s="8" t="s">
        <v>77</v>
      </c>
      <c r="N3" s="8" t="s">
        <v>78</v>
      </c>
      <c r="O3" s="8" t="s">
        <v>79</v>
      </c>
    </row>
    <row r="4" ht="46" customHeight="1" spans="1:15" x14ac:dyDescent="0.25">
      <c r="A4" s="9" t="s">
        <v>1225</v>
      </c>
      <c r="B4" s="10" t="s">
        <v>1226</v>
      </c>
      <c r="C4" s="10" t="s">
        <v>1227</v>
      </c>
      <c r="D4" s="10" t="s">
        <v>1228</v>
      </c>
      <c r="E4" s="11" t="s">
        <v>93</v>
      </c>
      <c r="F4" s="12" t="s">
        <v>85</v>
      </c>
      <c r="G4" s="10" t="s">
        <v>1229</v>
      </c>
      <c r="H4" s="10" t="s">
        <v>1230</v>
      </c>
      <c r="I4" s="10" t="s">
        <v>1231</v>
      </c>
      <c r="J4" s="10" t="s">
        <v>1232</v>
      </c>
      <c r="K4" s="10" t="s">
        <v>16</v>
      </c>
      <c r="L4" s="13" t="s">
        <v>90</v>
      </c>
      <c r="M4" s="10" t="s">
        <v>16</v>
      </c>
      <c r="N4" s="14" t="s">
        <v>16</v>
      </c>
      <c r="O4" s="10" t="s">
        <v>16</v>
      </c>
    </row>
    <row r="5" ht="46" customHeight="1" spans="1:15" x14ac:dyDescent="0.25">
      <c r="A5" s="15" t="s">
        <v>1233</v>
      </c>
      <c r="B5" s="16" t="s">
        <v>1226</v>
      </c>
      <c r="C5" s="16" t="s">
        <v>1227</v>
      </c>
      <c r="D5" s="16" t="s">
        <v>1234</v>
      </c>
      <c r="E5" s="17" t="s">
        <v>311</v>
      </c>
      <c r="F5" s="18" t="s">
        <v>85</v>
      </c>
      <c r="G5" s="16" t="s">
        <v>1235</v>
      </c>
      <c r="H5" s="16" t="s">
        <v>1236</v>
      </c>
      <c r="I5" s="16" t="s">
        <v>139</v>
      </c>
      <c r="J5" s="16" t="s">
        <v>1237</v>
      </c>
      <c r="K5" s="16" t="s">
        <v>16</v>
      </c>
      <c r="L5" s="19" t="s">
        <v>90</v>
      </c>
      <c r="M5" s="16" t="s">
        <v>16</v>
      </c>
      <c r="N5" s="20" t="s">
        <v>16</v>
      </c>
      <c r="O5" s="16" t="s">
        <v>16</v>
      </c>
    </row>
    <row r="6" ht="46" customHeight="1" spans="1:15" x14ac:dyDescent="0.25">
      <c r="A6" s="9" t="s">
        <v>1238</v>
      </c>
      <c r="B6" s="10" t="s">
        <v>1226</v>
      </c>
      <c r="C6" s="10" t="s">
        <v>1239</v>
      </c>
      <c r="D6" s="10" t="s">
        <v>1240</v>
      </c>
      <c r="E6" s="11" t="s">
        <v>93</v>
      </c>
      <c r="F6" s="12" t="s">
        <v>85</v>
      </c>
      <c r="G6" s="10" t="s">
        <v>1241</v>
      </c>
      <c r="H6" s="10" t="s">
        <v>1242</v>
      </c>
      <c r="I6" s="10" t="s">
        <v>1243</v>
      </c>
      <c r="J6" s="10" t="s">
        <v>1244</v>
      </c>
      <c r="K6" s="10" t="s">
        <v>16</v>
      </c>
      <c r="L6" s="13" t="s">
        <v>90</v>
      </c>
      <c r="M6" s="10" t="s">
        <v>16</v>
      </c>
      <c r="N6" s="14" t="s">
        <v>16</v>
      </c>
      <c r="O6" s="10" t="s">
        <v>16</v>
      </c>
    </row>
    <row r="7" ht="46" customHeight="1" spans="1:15" x14ac:dyDescent="0.25">
      <c r="A7" s="15" t="s">
        <v>1245</v>
      </c>
      <c r="B7" s="16" t="s">
        <v>1226</v>
      </c>
      <c r="C7" s="16" t="s">
        <v>1239</v>
      </c>
      <c r="D7" s="16" t="s">
        <v>1246</v>
      </c>
      <c r="E7" s="17" t="s">
        <v>311</v>
      </c>
      <c r="F7" s="18" t="s">
        <v>85</v>
      </c>
      <c r="G7" s="16" t="s">
        <v>1247</v>
      </c>
      <c r="H7" s="16" t="s">
        <v>1248</v>
      </c>
      <c r="I7" s="16" t="s">
        <v>139</v>
      </c>
      <c r="J7" s="16" t="s">
        <v>1249</v>
      </c>
      <c r="K7" s="16" t="s">
        <v>16</v>
      </c>
      <c r="L7" s="19" t="s">
        <v>90</v>
      </c>
      <c r="M7" s="16" t="s">
        <v>16</v>
      </c>
      <c r="N7" s="20" t="s">
        <v>16</v>
      </c>
      <c r="O7" s="16" t="s">
        <v>16</v>
      </c>
    </row>
    <row r="8" ht="46" customHeight="1" spans="1:15" x14ac:dyDescent="0.25">
      <c r="A8" s="9" t="s">
        <v>1250</v>
      </c>
      <c r="B8" s="10" t="s">
        <v>1226</v>
      </c>
      <c r="C8" s="10" t="s">
        <v>1251</v>
      </c>
      <c r="D8" s="10" t="s">
        <v>1252</v>
      </c>
      <c r="E8" s="11" t="s">
        <v>93</v>
      </c>
      <c r="F8" s="12" t="s">
        <v>85</v>
      </c>
      <c r="G8" s="10" t="s">
        <v>1253</v>
      </c>
      <c r="H8" s="10" t="s">
        <v>1254</v>
      </c>
      <c r="I8" s="10" t="s">
        <v>1255</v>
      </c>
      <c r="J8" s="10" t="s">
        <v>1256</v>
      </c>
      <c r="K8" s="10" t="s">
        <v>16</v>
      </c>
      <c r="L8" s="13" t="s">
        <v>90</v>
      </c>
      <c r="M8" s="10" t="s">
        <v>16</v>
      </c>
      <c r="N8" s="14" t="s">
        <v>16</v>
      </c>
      <c r="O8" s="10" t="s">
        <v>16</v>
      </c>
    </row>
    <row r="9" ht="46" customHeight="1" spans="1:15" x14ac:dyDescent="0.25">
      <c r="A9" s="15" t="s">
        <v>1257</v>
      </c>
      <c r="B9" s="16" t="s">
        <v>1226</v>
      </c>
      <c r="C9" s="16" t="s">
        <v>1251</v>
      </c>
      <c r="D9" s="16" t="s">
        <v>1258</v>
      </c>
      <c r="E9" s="17" t="s">
        <v>84</v>
      </c>
      <c r="F9" s="18" t="s">
        <v>85</v>
      </c>
      <c r="G9" s="16" t="s">
        <v>1259</v>
      </c>
      <c r="H9" s="16" t="s">
        <v>1260</v>
      </c>
      <c r="I9" s="16" t="s">
        <v>1261</v>
      </c>
      <c r="J9" s="16" t="s">
        <v>1262</v>
      </c>
      <c r="K9" s="16" t="s">
        <v>16</v>
      </c>
      <c r="L9" s="19" t="s">
        <v>90</v>
      </c>
      <c r="M9" s="16" t="s">
        <v>16</v>
      </c>
      <c r="N9" s="20" t="s">
        <v>16</v>
      </c>
      <c r="O9" s="16" t="s">
        <v>16</v>
      </c>
    </row>
    <row r="10" ht="46" customHeight="1" spans="1:15" x14ac:dyDescent="0.25">
      <c r="A10" s="9" t="s">
        <v>1263</v>
      </c>
      <c r="B10" s="10" t="s">
        <v>1226</v>
      </c>
      <c r="C10" s="10" t="s">
        <v>1251</v>
      </c>
      <c r="D10" s="10" t="s">
        <v>1264</v>
      </c>
      <c r="E10" s="11" t="s">
        <v>84</v>
      </c>
      <c r="F10" s="12" t="s">
        <v>85</v>
      </c>
      <c r="G10" s="10" t="s">
        <v>1259</v>
      </c>
      <c r="H10" s="10" t="s">
        <v>1265</v>
      </c>
      <c r="I10" s="10" t="s">
        <v>1266</v>
      </c>
      <c r="J10" s="10" t="s">
        <v>1267</v>
      </c>
      <c r="K10" s="10" t="s">
        <v>16</v>
      </c>
      <c r="L10" s="13" t="s">
        <v>90</v>
      </c>
      <c r="M10" s="10" t="s">
        <v>16</v>
      </c>
      <c r="N10" s="14" t="s">
        <v>16</v>
      </c>
      <c r="O10" s="10" t="s">
        <v>16</v>
      </c>
    </row>
    <row r="11" ht="46" customHeight="1" spans="1:15" x14ac:dyDescent="0.25">
      <c r="A11" s="15" t="s">
        <v>1268</v>
      </c>
      <c r="B11" s="16" t="s">
        <v>1226</v>
      </c>
      <c r="C11" s="16" t="s">
        <v>1251</v>
      </c>
      <c r="D11" s="16" t="s">
        <v>1269</v>
      </c>
      <c r="E11" s="17" t="s">
        <v>569</v>
      </c>
      <c r="F11" s="19" t="s">
        <v>124</v>
      </c>
      <c r="G11" s="16" t="s">
        <v>1259</v>
      </c>
      <c r="H11" s="16" t="s">
        <v>1270</v>
      </c>
      <c r="I11" s="16" t="s">
        <v>1271</v>
      </c>
      <c r="J11" s="16" t="s">
        <v>1272</v>
      </c>
      <c r="K11" s="16" t="s">
        <v>16</v>
      </c>
      <c r="L11" s="19" t="s">
        <v>90</v>
      </c>
      <c r="M11" s="16" t="s">
        <v>16</v>
      </c>
      <c r="N11" s="20" t="s">
        <v>16</v>
      </c>
      <c r="O11" s="16" t="s">
        <v>16</v>
      </c>
    </row>
    <row r="12" ht="46" customHeight="1" spans="1:15" x14ac:dyDescent="0.25">
      <c r="A12" s="9" t="s">
        <v>1273</v>
      </c>
      <c r="B12" s="10" t="s">
        <v>1226</v>
      </c>
      <c r="C12" s="10" t="s">
        <v>1251</v>
      </c>
      <c r="D12" s="10" t="s">
        <v>1274</v>
      </c>
      <c r="E12" s="11" t="s">
        <v>84</v>
      </c>
      <c r="F12" s="12" t="s">
        <v>85</v>
      </c>
      <c r="G12" s="10" t="s">
        <v>1275</v>
      </c>
      <c r="H12" s="10" t="s">
        <v>1276</v>
      </c>
      <c r="I12" s="10" t="s">
        <v>139</v>
      </c>
      <c r="J12" s="10" t="s">
        <v>1277</v>
      </c>
      <c r="K12" s="10" t="s">
        <v>16</v>
      </c>
      <c r="L12" s="13" t="s">
        <v>90</v>
      </c>
      <c r="M12" s="10" t="s">
        <v>16</v>
      </c>
      <c r="N12" s="14" t="s">
        <v>16</v>
      </c>
      <c r="O12" s="10" t="s">
        <v>16</v>
      </c>
    </row>
    <row r="13" ht="46" customHeight="1" spans="1:15" x14ac:dyDescent="0.25">
      <c r="A13" s="15" t="s">
        <v>1278</v>
      </c>
      <c r="B13" s="16" t="s">
        <v>1226</v>
      </c>
      <c r="C13" s="16" t="s">
        <v>1251</v>
      </c>
      <c r="D13" s="16" t="s">
        <v>1279</v>
      </c>
      <c r="E13" s="17" t="s">
        <v>84</v>
      </c>
      <c r="F13" s="18" t="s">
        <v>85</v>
      </c>
      <c r="G13" s="16" t="s">
        <v>1259</v>
      </c>
      <c r="H13" s="16" t="s">
        <v>1280</v>
      </c>
      <c r="I13" s="16" t="s">
        <v>1281</v>
      </c>
      <c r="J13" s="16" t="s">
        <v>1282</v>
      </c>
      <c r="K13" s="16" t="s">
        <v>16</v>
      </c>
      <c r="L13" s="19" t="s">
        <v>90</v>
      </c>
      <c r="M13" s="16" t="s">
        <v>16</v>
      </c>
      <c r="N13" s="20" t="s">
        <v>16</v>
      </c>
      <c r="O13" s="16" t="s">
        <v>16</v>
      </c>
    </row>
    <row r="14" ht="46" customHeight="1" spans="1:15" x14ac:dyDescent="0.25">
      <c r="A14" s="9" t="s">
        <v>1283</v>
      </c>
      <c r="B14" s="10" t="s">
        <v>1226</v>
      </c>
      <c r="C14" s="10" t="s">
        <v>1251</v>
      </c>
      <c r="D14" s="10" t="s">
        <v>1284</v>
      </c>
      <c r="E14" s="11" t="s">
        <v>84</v>
      </c>
      <c r="F14" s="13" t="s">
        <v>124</v>
      </c>
      <c r="G14" s="10" t="s">
        <v>137</v>
      </c>
      <c r="H14" s="10" t="s">
        <v>1285</v>
      </c>
      <c r="I14" s="10" t="s">
        <v>139</v>
      </c>
      <c r="J14" s="10" t="s">
        <v>1286</v>
      </c>
      <c r="K14" s="10" t="s">
        <v>16</v>
      </c>
      <c r="L14" s="13" t="s">
        <v>90</v>
      </c>
      <c r="M14" s="10" t="s">
        <v>16</v>
      </c>
      <c r="N14" s="14" t="s">
        <v>16</v>
      </c>
      <c r="O14" s="10" t="s">
        <v>16</v>
      </c>
    </row>
    <row r="15" ht="46" customHeight="1" spans="1:15" x14ac:dyDescent="0.25">
      <c r="A15" s="15" t="s">
        <v>1287</v>
      </c>
      <c r="B15" s="16" t="s">
        <v>1226</v>
      </c>
      <c r="C15" s="16" t="s">
        <v>1251</v>
      </c>
      <c r="D15" s="16" t="s">
        <v>1288</v>
      </c>
      <c r="E15" s="17" t="s">
        <v>93</v>
      </c>
      <c r="F15" s="19" t="s">
        <v>124</v>
      </c>
      <c r="G15" s="16" t="s">
        <v>1289</v>
      </c>
      <c r="H15" s="16" t="s">
        <v>1290</v>
      </c>
      <c r="I15" s="16" t="s">
        <v>1291</v>
      </c>
      <c r="J15" s="16" t="s">
        <v>1292</v>
      </c>
      <c r="K15" s="16" t="s">
        <v>16</v>
      </c>
      <c r="L15" s="19" t="s">
        <v>90</v>
      </c>
      <c r="M15" s="16" t="s">
        <v>16</v>
      </c>
      <c r="N15" s="20" t="s">
        <v>16</v>
      </c>
      <c r="O15" s="16" t="s">
        <v>16</v>
      </c>
    </row>
    <row r="16" ht="46" customHeight="1" spans="1:15" x14ac:dyDescent="0.25">
      <c r="A16" s="9" t="s">
        <v>1293</v>
      </c>
      <c r="B16" s="10" t="s">
        <v>1226</v>
      </c>
      <c r="C16" s="10" t="s">
        <v>1294</v>
      </c>
      <c r="D16" s="10" t="s">
        <v>1295</v>
      </c>
      <c r="E16" s="11" t="s">
        <v>93</v>
      </c>
      <c r="F16" s="13" t="s">
        <v>124</v>
      </c>
      <c r="G16" s="10" t="s">
        <v>1296</v>
      </c>
      <c r="H16" s="10" t="s">
        <v>1297</v>
      </c>
      <c r="I16" s="10" t="s">
        <v>1298</v>
      </c>
      <c r="J16" s="10" t="s">
        <v>1299</v>
      </c>
      <c r="K16" s="10" t="s">
        <v>16</v>
      </c>
      <c r="L16" s="13" t="s">
        <v>90</v>
      </c>
      <c r="M16" s="10" t="s">
        <v>16</v>
      </c>
      <c r="N16" s="14" t="s">
        <v>16</v>
      </c>
      <c r="O16" s="10" t="s">
        <v>16</v>
      </c>
    </row>
    <row r="17" ht="46" customHeight="1" spans="1:15" x14ac:dyDescent="0.25">
      <c r="A17" s="15" t="s">
        <v>1300</v>
      </c>
      <c r="B17" s="16" t="s">
        <v>1226</v>
      </c>
      <c r="C17" s="16" t="s">
        <v>1294</v>
      </c>
      <c r="D17" s="16" t="s">
        <v>1301</v>
      </c>
      <c r="E17" s="17" t="s">
        <v>150</v>
      </c>
      <c r="F17" s="19" t="s">
        <v>329</v>
      </c>
      <c r="G17" s="16" t="s">
        <v>1302</v>
      </c>
      <c r="H17" s="16" t="s">
        <v>1303</v>
      </c>
      <c r="I17" s="16" t="s">
        <v>139</v>
      </c>
      <c r="J17" s="16" t="s">
        <v>1304</v>
      </c>
      <c r="K17" s="16" t="s">
        <v>16</v>
      </c>
      <c r="L17" s="19" t="s">
        <v>90</v>
      </c>
      <c r="M17" s="16" t="s">
        <v>16</v>
      </c>
      <c r="N17" s="20" t="s">
        <v>16</v>
      </c>
      <c r="O17" s="16" t="s">
        <v>16</v>
      </c>
    </row>
    <row r="18" ht="46" customHeight="1" spans="1:15" x14ac:dyDescent="0.25">
      <c r="A18" s="9" t="s">
        <v>1305</v>
      </c>
      <c r="B18" s="10" t="s">
        <v>1226</v>
      </c>
      <c r="C18" s="10" t="s">
        <v>334</v>
      </c>
      <c r="D18" s="10" t="s">
        <v>1306</v>
      </c>
      <c r="E18" s="11" t="s">
        <v>150</v>
      </c>
      <c r="F18" s="13" t="s">
        <v>124</v>
      </c>
      <c r="G18" s="10" t="s">
        <v>1307</v>
      </c>
      <c r="H18" s="10" t="s">
        <v>1308</v>
      </c>
      <c r="I18" s="10" t="s">
        <v>139</v>
      </c>
      <c r="J18" s="10" t="s">
        <v>1309</v>
      </c>
      <c r="K18" s="10" t="s">
        <v>16</v>
      </c>
      <c r="L18" s="13" t="s">
        <v>90</v>
      </c>
      <c r="M18" s="10" t="s">
        <v>16</v>
      </c>
      <c r="N18" s="14" t="s">
        <v>16</v>
      </c>
      <c r="O18" s="10" t="s">
        <v>16</v>
      </c>
    </row>
    <row r="19" ht="56" customHeight="1" spans="1:15" x14ac:dyDescent="0.25">
      <c r="A19" s="15" t="s">
        <v>1310</v>
      </c>
      <c r="B19" s="16" t="s">
        <v>1226</v>
      </c>
      <c r="C19" s="16" t="s">
        <v>334</v>
      </c>
      <c r="D19" s="16" t="s">
        <v>1311</v>
      </c>
      <c r="E19" s="17" t="s">
        <v>569</v>
      </c>
      <c r="F19" s="19" t="s">
        <v>124</v>
      </c>
      <c r="G19" s="16" t="s">
        <v>1307</v>
      </c>
      <c r="H19" s="16" t="s">
        <v>1312</v>
      </c>
      <c r="I19" s="16" t="s">
        <v>139</v>
      </c>
      <c r="J19" s="16" t="s">
        <v>1313</v>
      </c>
      <c r="K19" s="16" t="s">
        <v>16</v>
      </c>
      <c r="L19" s="19" t="s">
        <v>90</v>
      </c>
      <c r="M19" s="16" t="s">
        <v>16</v>
      </c>
      <c r="N19" s="20" t="s">
        <v>16</v>
      </c>
      <c r="O19" s="16" t="s">
        <v>16</v>
      </c>
    </row>
    <row r="20" ht="46" customHeight="1" spans="1:15" x14ac:dyDescent="0.25">
      <c r="A20" s="9" t="s">
        <v>1314</v>
      </c>
      <c r="B20" s="10" t="s">
        <v>1226</v>
      </c>
      <c r="C20" s="10" t="s">
        <v>334</v>
      </c>
      <c r="D20" s="10" t="s">
        <v>1315</v>
      </c>
      <c r="E20" s="11" t="s">
        <v>93</v>
      </c>
      <c r="F20" s="13" t="s">
        <v>124</v>
      </c>
      <c r="G20" s="10" t="s">
        <v>1316</v>
      </c>
      <c r="H20" s="10" t="s">
        <v>1317</v>
      </c>
      <c r="I20" s="10" t="s">
        <v>139</v>
      </c>
      <c r="J20" s="10" t="s">
        <v>1318</v>
      </c>
      <c r="K20" s="10" t="s">
        <v>16</v>
      </c>
      <c r="L20" s="13" t="s">
        <v>90</v>
      </c>
      <c r="M20" s="10" t="s">
        <v>16</v>
      </c>
      <c r="N20" s="14" t="s">
        <v>16</v>
      </c>
      <c r="O20" s="10" t="s">
        <v>16</v>
      </c>
    </row>
    <row r="21" ht="46" customHeight="1" spans="1:15" x14ac:dyDescent="0.25">
      <c r="A21" s="15" t="s">
        <v>1319</v>
      </c>
      <c r="B21" s="16" t="s">
        <v>1226</v>
      </c>
      <c r="C21" s="16" t="s">
        <v>549</v>
      </c>
      <c r="D21" s="16" t="s">
        <v>1320</v>
      </c>
      <c r="E21" s="17" t="s">
        <v>93</v>
      </c>
      <c r="F21" s="18" t="s">
        <v>85</v>
      </c>
      <c r="G21" s="16" t="s">
        <v>1321</v>
      </c>
      <c r="H21" s="16" t="s">
        <v>1322</v>
      </c>
      <c r="I21" s="16" t="s">
        <v>1323</v>
      </c>
      <c r="J21" s="16" t="s">
        <v>1324</v>
      </c>
      <c r="K21" s="16" t="s">
        <v>16</v>
      </c>
      <c r="L21" s="19" t="s">
        <v>90</v>
      </c>
      <c r="M21" s="16" t="s">
        <v>16</v>
      </c>
      <c r="N21" s="20" t="s">
        <v>16</v>
      </c>
      <c r="O21" s="16" t="s">
        <v>16</v>
      </c>
    </row>
    <row r="22" ht="46" customHeight="1" spans="1:15" x14ac:dyDescent="0.25">
      <c r="A22" s="9" t="s">
        <v>1325</v>
      </c>
      <c r="B22" s="10" t="s">
        <v>1226</v>
      </c>
      <c r="C22" s="10" t="s">
        <v>549</v>
      </c>
      <c r="D22" s="10" t="s">
        <v>1326</v>
      </c>
      <c r="E22" s="11" t="s">
        <v>150</v>
      </c>
      <c r="F22" s="13" t="s">
        <v>124</v>
      </c>
      <c r="G22" s="10" t="s">
        <v>1327</v>
      </c>
      <c r="H22" s="10" t="s">
        <v>1328</v>
      </c>
      <c r="I22" s="10" t="s">
        <v>139</v>
      </c>
      <c r="J22" s="10" t="s">
        <v>1329</v>
      </c>
      <c r="K22" s="10" t="s">
        <v>16</v>
      </c>
      <c r="L22" s="13" t="s">
        <v>90</v>
      </c>
      <c r="M22" s="10" t="s">
        <v>16</v>
      </c>
      <c r="N22" s="14" t="s">
        <v>16</v>
      </c>
      <c r="O22" s="10" t="s">
        <v>16</v>
      </c>
    </row>
    <row r="23" ht="56" customHeight="1" spans="1:15" x14ac:dyDescent="0.25">
      <c r="A23" s="15" t="s">
        <v>1330</v>
      </c>
      <c r="B23" s="16" t="s">
        <v>1226</v>
      </c>
      <c r="C23" s="16" t="s">
        <v>1331</v>
      </c>
      <c r="D23" s="16" t="s">
        <v>1332</v>
      </c>
      <c r="E23" s="17" t="s">
        <v>93</v>
      </c>
      <c r="F23" s="19" t="s">
        <v>124</v>
      </c>
      <c r="G23" s="16" t="s">
        <v>1333</v>
      </c>
      <c r="H23" s="16" t="s">
        <v>1334</v>
      </c>
      <c r="I23" s="16" t="s">
        <v>1335</v>
      </c>
      <c r="J23" s="16" t="s">
        <v>1336</v>
      </c>
      <c r="K23" s="16" t="s">
        <v>16</v>
      </c>
      <c r="L23" s="19" t="s">
        <v>90</v>
      </c>
      <c r="M23" s="16" t="s">
        <v>16</v>
      </c>
      <c r="N23" s="20" t="s">
        <v>16</v>
      </c>
      <c r="O23" s="16" t="s">
        <v>16</v>
      </c>
    </row>
    <row r="24" ht="46" customHeight="1" spans="1:15" x14ac:dyDescent="0.25">
      <c r="A24" s="9" t="s">
        <v>1337</v>
      </c>
      <c r="B24" s="10" t="s">
        <v>1226</v>
      </c>
      <c r="C24" s="10" t="s">
        <v>1338</v>
      </c>
      <c r="D24" s="10" t="s">
        <v>1339</v>
      </c>
      <c r="E24" s="11" t="s">
        <v>93</v>
      </c>
      <c r="F24" s="13" t="s">
        <v>124</v>
      </c>
      <c r="G24" s="10" t="s">
        <v>1340</v>
      </c>
      <c r="H24" s="10" t="s">
        <v>1341</v>
      </c>
      <c r="I24" s="10" t="s">
        <v>139</v>
      </c>
      <c r="J24" s="10" t="s">
        <v>1342</v>
      </c>
      <c r="K24" s="10" t="s">
        <v>16</v>
      </c>
      <c r="L24" s="13" t="s">
        <v>90</v>
      </c>
      <c r="M24" s="10" t="s">
        <v>16</v>
      </c>
      <c r="N24" s="14" t="s">
        <v>16</v>
      </c>
      <c r="O24" s="10" t="s">
        <v>16</v>
      </c>
    </row>
    <row r="25" ht="56" customHeight="1" spans="1:15" x14ac:dyDescent="0.25">
      <c r="A25" s="15" t="s">
        <v>1343</v>
      </c>
      <c r="B25" s="16" t="s">
        <v>1226</v>
      </c>
      <c r="C25" s="16" t="s">
        <v>1344</v>
      </c>
      <c r="D25" s="16" t="s">
        <v>1345</v>
      </c>
      <c r="E25" s="17" t="s">
        <v>84</v>
      </c>
      <c r="F25" s="18" t="s">
        <v>85</v>
      </c>
      <c r="G25" s="16" t="s">
        <v>1346</v>
      </c>
      <c r="H25" s="16" t="s">
        <v>1347</v>
      </c>
      <c r="I25" s="16" t="s">
        <v>1348</v>
      </c>
      <c r="J25" s="16" t="s">
        <v>1349</v>
      </c>
      <c r="K25" s="16" t="s">
        <v>16</v>
      </c>
      <c r="L25" s="19" t="s">
        <v>90</v>
      </c>
      <c r="M25" s="16" t="s">
        <v>16</v>
      </c>
      <c r="N25" s="20" t="s">
        <v>16</v>
      </c>
      <c r="O25" s="16" t="s">
        <v>16</v>
      </c>
    </row>
  </sheetData>
  <autoFilter ref="A3:O25"/>
  <mergeCells count="2">
    <mergeCell ref="A1:O1"/>
    <mergeCell ref="A2:O2"/>
  </mergeCells>
  <conditionalFormatting sqref="L4:L25">
    <cfRule type="containsText" dxfId="24" priority="1">
      <formula>NOT(ISERROR(SEARCH("Pass",L4)))</formula>
    </cfRule>
    <cfRule type="containsText" dxfId="25" priority="2">
      <formula>NOT(ISERROR(SEARCH("Fail",L4)))</formula>
    </cfRule>
    <cfRule type="containsText" dxfId="26" priority="3">
      <formula>NOT(ISERROR(SEARCH("Blocked",L4)))</formula>
    </cfRule>
  </conditionalFormatting>
  <dataValidations count="2">
    <dataValidation type="list" showErrorMessage="1" errorTitle="Invalid status" error="Choose: Not Executed, Pass, Fail, Blocked or N/A" sqref="L10:L25">
      <formula1>"Not Executed,Pass,Fail,Blocked,N/A"</formula1>
    </dataValidation>
    <dataValidation type="list" showErrorMessage="1" errorTitle="Invalid status" error="Choose: Not Executed, Pass, Fail, Blocked or N/A" sqref="L4:L25">
      <formula1>"Not Executed,Pass,Fail,Blocked,N/A"</formula1>
    </dataValidation>
  </dataValidation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workbookViewId="0" zoomScale="90">
      <pane xSplit="1" ySplit="3" topLeftCell="B4" activePane="bottomRight" state="frozen"/>
      <selection pane="bottomRight"/>
    </sheetView>
  </sheetViews>
  <sheetFormatPr defaultRowHeight="15" outlineLevelRow="0" outlineLevelCol="0" x14ac:dyDescent="55"/>
  <cols>
    <col min="1" max="1" width="12" customWidth="1"/>
    <col min="2" max="2" width="20" customWidth="1"/>
    <col min="3" max="3" width="22" customWidth="1"/>
    <col min="4" max="4" width="46" customWidth="1"/>
    <col min="5" max="5" width="14" customWidth="1"/>
    <col min="6" max="6" width="10" customWidth="1"/>
    <col min="7" max="7" width="38" customWidth="1"/>
    <col min="8" max="8" width="50" customWidth="1"/>
    <col min="9" max="9" width="26" customWidth="1"/>
    <col min="10" max="10" width="66" customWidth="1"/>
    <col min="11" max="11" width="30" customWidth="1"/>
    <col min="12" max="14" width="14" customWidth="1"/>
    <col min="15" max="15" width="26" customWidth="1"/>
  </cols>
  <sheetData>
    <row r="1" ht="28" customHeight="1" spans="1:15" x14ac:dyDescent="0.25">
      <c r="A1" s="6" t="s">
        <v>1350</v>
      </c>
      <c r="B1" s="6"/>
      <c r="C1" s="6"/>
      <c r="D1" s="6"/>
      <c r="E1" s="6"/>
      <c r="F1" s="6"/>
      <c r="G1" s="6"/>
      <c r="H1" s="6"/>
      <c r="I1" s="6"/>
      <c r="J1" s="6"/>
      <c r="K1" s="6"/>
      <c r="L1" s="6"/>
      <c r="M1" s="6"/>
      <c r="N1" s="6"/>
      <c r="O1" s="6"/>
    </row>
    <row r="2" ht="20" customHeight="1" spans="1:15" x14ac:dyDescent="0.25">
      <c r="A2" s="7" t="s">
        <v>1351</v>
      </c>
      <c r="B2" s="7"/>
      <c r="C2" s="7"/>
      <c r="D2" s="7"/>
      <c r="E2" s="7"/>
      <c r="F2" s="7"/>
      <c r="G2" s="7"/>
      <c r="H2" s="7"/>
      <c r="I2" s="7"/>
      <c r="J2" s="7"/>
      <c r="K2" s="7"/>
      <c r="L2" s="7"/>
      <c r="M2" s="7"/>
      <c r="N2" s="7"/>
      <c r="O2" s="7"/>
    </row>
    <row r="3" ht="30" customHeight="1" spans="1:15" x14ac:dyDescent="0.25">
      <c r="A3" s="8" t="s">
        <v>65</v>
      </c>
      <c r="B3" s="8" t="s">
        <v>66</v>
      </c>
      <c r="C3" s="8" t="s">
        <v>67</v>
      </c>
      <c r="D3" s="8" t="s">
        <v>68</v>
      </c>
      <c r="E3" s="8" t="s">
        <v>69</v>
      </c>
      <c r="F3" s="8" t="s">
        <v>70</v>
      </c>
      <c r="G3" s="8" t="s">
        <v>71</v>
      </c>
      <c r="H3" s="8" t="s">
        <v>72</v>
      </c>
      <c r="I3" s="8" t="s">
        <v>73</v>
      </c>
      <c r="J3" s="8" t="s">
        <v>74</v>
      </c>
      <c r="K3" s="8" t="s">
        <v>75</v>
      </c>
      <c r="L3" s="8" t="s">
        <v>76</v>
      </c>
      <c r="M3" s="8" t="s">
        <v>77</v>
      </c>
      <c r="N3" s="8" t="s">
        <v>78</v>
      </c>
      <c r="O3" s="8" t="s">
        <v>79</v>
      </c>
    </row>
    <row r="4" ht="46" customHeight="1" spans="1:15" x14ac:dyDescent="0.25">
      <c r="A4" s="9" t="s">
        <v>1352</v>
      </c>
      <c r="B4" s="10" t="s">
        <v>1353</v>
      </c>
      <c r="C4" s="10" t="s">
        <v>922</v>
      </c>
      <c r="D4" s="10" t="s">
        <v>1354</v>
      </c>
      <c r="E4" s="11" t="s">
        <v>93</v>
      </c>
      <c r="F4" s="13" t="s">
        <v>124</v>
      </c>
      <c r="G4" s="10" t="s">
        <v>1355</v>
      </c>
      <c r="H4" s="10" t="s">
        <v>1356</v>
      </c>
      <c r="I4" s="10" t="s">
        <v>139</v>
      </c>
      <c r="J4" s="10" t="s">
        <v>1357</v>
      </c>
      <c r="K4" s="10" t="s">
        <v>16</v>
      </c>
      <c r="L4" s="13" t="s">
        <v>90</v>
      </c>
      <c r="M4" s="10" t="s">
        <v>16</v>
      </c>
      <c r="N4" s="14" t="s">
        <v>16</v>
      </c>
      <c r="O4" s="10" t="s">
        <v>16</v>
      </c>
    </row>
    <row r="5" ht="46" customHeight="1" spans="1:15" x14ac:dyDescent="0.25">
      <c r="A5" s="15" t="s">
        <v>1358</v>
      </c>
      <c r="B5" s="16" t="s">
        <v>1353</v>
      </c>
      <c r="C5" s="16" t="s">
        <v>527</v>
      </c>
      <c r="D5" s="16" t="s">
        <v>1359</v>
      </c>
      <c r="E5" s="17" t="s">
        <v>84</v>
      </c>
      <c r="F5" s="18" t="s">
        <v>85</v>
      </c>
      <c r="G5" s="16" t="s">
        <v>1360</v>
      </c>
      <c r="H5" s="16" t="s">
        <v>1361</v>
      </c>
      <c r="I5" s="16" t="s">
        <v>139</v>
      </c>
      <c r="J5" s="16" t="s">
        <v>1362</v>
      </c>
      <c r="K5" s="16" t="s">
        <v>16</v>
      </c>
      <c r="L5" s="19" t="s">
        <v>90</v>
      </c>
      <c r="M5" s="16" t="s">
        <v>16</v>
      </c>
      <c r="N5" s="20" t="s">
        <v>16</v>
      </c>
      <c r="O5" s="16" t="s">
        <v>16</v>
      </c>
    </row>
    <row r="6" ht="46" customHeight="1" spans="1:15" x14ac:dyDescent="0.25">
      <c r="A6" s="9" t="s">
        <v>1363</v>
      </c>
      <c r="B6" s="10" t="s">
        <v>1353</v>
      </c>
      <c r="C6" s="10" t="s">
        <v>1364</v>
      </c>
      <c r="D6" s="10" t="s">
        <v>1365</v>
      </c>
      <c r="E6" s="11" t="s">
        <v>93</v>
      </c>
      <c r="F6" s="12" t="s">
        <v>85</v>
      </c>
      <c r="G6" s="10" t="s">
        <v>1366</v>
      </c>
      <c r="H6" s="10" t="s">
        <v>1367</v>
      </c>
      <c r="I6" s="10" t="s">
        <v>1368</v>
      </c>
      <c r="J6" s="10" t="s">
        <v>1369</v>
      </c>
      <c r="K6" s="10" t="s">
        <v>16</v>
      </c>
      <c r="L6" s="13" t="s">
        <v>90</v>
      </c>
      <c r="M6" s="10" t="s">
        <v>16</v>
      </c>
      <c r="N6" s="14" t="s">
        <v>16</v>
      </c>
      <c r="O6" s="10" t="s">
        <v>16</v>
      </c>
    </row>
    <row r="7" ht="46" customHeight="1" spans="1:15" x14ac:dyDescent="0.25">
      <c r="A7" s="15" t="s">
        <v>1370</v>
      </c>
      <c r="B7" s="16" t="s">
        <v>1353</v>
      </c>
      <c r="C7" s="16" t="s">
        <v>1364</v>
      </c>
      <c r="D7" s="16" t="s">
        <v>1371</v>
      </c>
      <c r="E7" s="17" t="s">
        <v>93</v>
      </c>
      <c r="F7" s="18" t="s">
        <v>85</v>
      </c>
      <c r="G7" s="16" t="s">
        <v>1372</v>
      </c>
      <c r="H7" s="16" t="s">
        <v>1373</v>
      </c>
      <c r="I7" s="16" t="s">
        <v>1374</v>
      </c>
      <c r="J7" s="16" t="s">
        <v>1375</v>
      </c>
      <c r="K7" s="16" t="s">
        <v>16</v>
      </c>
      <c r="L7" s="19" t="s">
        <v>90</v>
      </c>
      <c r="M7" s="16" t="s">
        <v>16</v>
      </c>
      <c r="N7" s="20" t="s">
        <v>16</v>
      </c>
      <c r="O7" s="16" t="s">
        <v>16</v>
      </c>
    </row>
    <row r="8" ht="46" customHeight="1" spans="1:15" x14ac:dyDescent="0.25">
      <c r="A8" s="9" t="s">
        <v>1376</v>
      </c>
      <c r="B8" s="10" t="s">
        <v>1353</v>
      </c>
      <c r="C8" s="10" t="s">
        <v>1364</v>
      </c>
      <c r="D8" s="10" t="s">
        <v>1377</v>
      </c>
      <c r="E8" s="11" t="s">
        <v>93</v>
      </c>
      <c r="F8" s="12" t="s">
        <v>85</v>
      </c>
      <c r="G8" s="10" t="s">
        <v>1378</v>
      </c>
      <c r="H8" s="10" t="s">
        <v>1379</v>
      </c>
      <c r="I8" s="10" t="s">
        <v>139</v>
      </c>
      <c r="J8" s="10" t="s">
        <v>1380</v>
      </c>
      <c r="K8" s="10" t="s">
        <v>16</v>
      </c>
      <c r="L8" s="13" t="s">
        <v>90</v>
      </c>
      <c r="M8" s="10" t="s">
        <v>16</v>
      </c>
      <c r="N8" s="14" t="s">
        <v>16</v>
      </c>
      <c r="O8" s="10" t="s">
        <v>16</v>
      </c>
    </row>
    <row r="9" ht="46" customHeight="1" spans="1:15" x14ac:dyDescent="0.25">
      <c r="A9" s="15" t="s">
        <v>1381</v>
      </c>
      <c r="B9" s="16" t="s">
        <v>1353</v>
      </c>
      <c r="C9" s="16" t="s">
        <v>1364</v>
      </c>
      <c r="D9" s="16" t="s">
        <v>1382</v>
      </c>
      <c r="E9" s="17" t="s">
        <v>150</v>
      </c>
      <c r="F9" s="19" t="s">
        <v>329</v>
      </c>
      <c r="G9" s="16" t="s">
        <v>1383</v>
      </c>
      <c r="H9" s="16" t="s">
        <v>1384</v>
      </c>
      <c r="I9" s="16" t="s">
        <v>139</v>
      </c>
      <c r="J9" s="16" t="s">
        <v>1385</v>
      </c>
      <c r="K9" s="16" t="s">
        <v>16</v>
      </c>
      <c r="L9" s="19" t="s">
        <v>90</v>
      </c>
      <c r="M9" s="16" t="s">
        <v>16</v>
      </c>
      <c r="N9" s="20" t="s">
        <v>16</v>
      </c>
      <c r="O9" s="16" t="s">
        <v>16</v>
      </c>
    </row>
    <row r="10" ht="46" customHeight="1" spans="1:15" x14ac:dyDescent="0.25">
      <c r="A10" s="9" t="s">
        <v>1386</v>
      </c>
      <c r="B10" s="10" t="s">
        <v>1353</v>
      </c>
      <c r="C10" s="10" t="s">
        <v>1364</v>
      </c>
      <c r="D10" s="10" t="s">
        <v>1387</v>
      </c>
      <c r="E10" s="11" t="s">
        <v>150</v>
      </c>
      <c r="F10" s="13" t="s">
        <v>329</v>
      </c>
      <c r="G10" s="10" t="s">
        <v>1388</v>
      </c>
      <c r="H10" s="10" t="s">
        <v>1389</v>
      </c>
      <c r="I10" s="10" t="s">
        <v>1390</v>
      </c>
      <c r="J10" s="10" t="s">
        <v>1391</v>
      </c>
      <c r="K10" s="10" t="s">
        <v>16</v>
      </c>
      <c r="L10" s="13" t="s">
        <v>90</v>
      </c>
      <c r="M10" s="10" t="s">
        <v>16</v>
      </c>
      <c r="N10" s="14" t="s">
        <v>16</v>
      </c>
      <c r="O10" s="10" t="s">
        <v>16</v>
      </c>
    </row>
    <row r="11" ht="46" customHeight="1" spans="1:15" x14ac:dyDescent="0.25">
      <c r="A11" s="15" t="s">
        <v>1392</v>
      </c>
      <c r="B11" s="16" t="s">
        <v>1353</v>
      </c>
      <c r="C11" s="16" t="s">
        <v>1364</v>
      </c>
      <c r="D11" s="16" t="s">
        <v>1393</v>
      </c>
      <c r="E11" s="17" t="s">
        <v>84</v>
      </c>
      <c r="F11" s="18" t="s">
        <v>85</v>
      </c>
      <c r="G11" s="16" t="s">
        <v>137</v>
      </c>
      <c r="H11" s="16" t="s">
        <v>1394</v>
      </c>
      <c r="I11" s="16" t="s">
        <v>139</v>
      </c>
      <c r="J11" s="16" t="s">
        <v>1395</v>
      </c>
      <c r="K11" s="16" t="s">
        <v>16</v>
      </c>
      <c r="L11" s="19" t="s">
        <v>90</v>
      </c>
      <c r="M11" s="16" t="s">
        <v>16</v>
      </c>
      <c r="N11" s="20" t="s">
        <v>16</v>
      </c>
      <c r="O11" s="16" t="s">
        <v>16</v>
      </c>
    </row>
    <row r="12" ht="46" customHeight="1" spans="1:15" x14ac:dyDescent="0.25">
      <c r="A12" s="9" t="s">
        <v>1396</v>
      </c>
      <c r="B12" s="10" t="s">
        <v>1353</v>
      </c>
      <c r="C12" s="10" t="s">
        <v>1364</v>
      </c>
      <c r="D12" s="10" t="s">
        <v>1397</v>
      </c>
      <c r="E12" s="11" t="s">
        <v>84</v>
      </c>
      <c r="F12" s="12" t="s">
        <v>85</v>
      </c>
      <c r="G12" s="10" t="s">
        <v>1398</v>
      </c>
      <c r="H12" s="10" t="s">
        <v>1399</v>
      </c>
      <c r="I12" s="10" t="s">
        <v>139</v>
      </c>
      <c r="J12" s="10" t="s">
        <v>1400</v>
      </c>
      <c r="K12" s="10" t="s">
        <v>16</v>
      </c>
      <c r="L12" s="13" t="s">
        <v>90</v>
      </c>
      <c r="M12" s="10" t="s">
        <v>16</v>
      </c>
      <c r="N12" s="14" t="s">
        <v>16</v>
      </c>
      <c r="O12" s="10" t="s">
        <v>16</v>
      </c>
    </row>
    <row r="13" ht="46" customHeight="1" spans="1:15" x14ac:dyDescent="0.25">
      <c r="A13" s="15" t="s">
        <v>1401</v>
      </c>
      <c r="B13" s="16" t="s">
        <v>1353</v>
      </c>
      <c r="C13" s="16" t="s">
        <v>1402</v>
      </c>
      <c r="D13" s="16" t="s">
        <v>1403</v>
      </c>
      <c r="E13" s="17" t="s">
        <v>93</v>
      </c>
      <c r="F13" s="19" t="s">
        <v>124</v>
      </c>
      <c r="G13" s="16" t="s">
        <v>1404</v>
      </c>
      <c r="H13" s="16" t="s">
        <v>1405</v>
      </c>
      <c r="I13" s="16" t="s">
        <v>139</v>
      </c>
      <c r="J13" s="16" t="s">
        <v>1406</v>
      </c>
      <c r="K13" s="16" t="s">
        <v>16</v>
      </c>
      <c r="L13" s="19" t="s">
        <v>90</v>
      </c>
      <c r="M13" s="16" t="s">
        <v>16</v>
      </c>
      <c r="N13" s="20" t="s">
        <v>16</v>
      </c>
      <c r="O13" s="16" t="s">
        <v>16</v>
      </c>
    </row>
    <row r="14" ht="46" customHeight="1" spans="1:15" x14ac:dyDescent="0.25">
      <c r="A14" s="9" t="s">
        <v>1407</v>
      </c>
      <c r="B14" s="10" t="s">
        <v>1353</v>
      </c>
      <c r="C14" s="10" t="s">
        <v>1402</v>
      </c>
      <c r="D14" s="10" t="s">
        <v>1408</v>
      </c>
      <c r="E14" s="11" t="s">
        <v>84</v>
      </c>
      <c r="F14" s="12" t="s">
        <v>85</v>
      </c>
      <c r="G14" s="10" t="s">
        <v>1409</v>
      </c>
      <c r="H14" s="10" t="s">
        <v>1410</v>
      </c>
      <c r="I14" s="10" t="s">
        <v>139</v>
      </c>
      <c r="J14" s="10" t="s">
        <v>1411</v>
      </c>
      <c r="K14" s="10" t="s">
        <v>16</v>
      </c>
      <c r="L14" s="13" t="s">
        <v>90</v>
      </c>
      <c r="M14" s="10" t="s">
        <v>16</v>
      </c>
      <c r="N14" s="14" t="s">
        <v>16</v>
      </c>
      <c r="O14" s="10" t="s">
        <v>16</v>
      </c>
    </row>
    <row r="15" ht="46" customHeight="1" spans="1:15" x14ac:dyDescent="0.25">
      <c r="A15" s="15" t="s">
        <v>1412</v>
      </c>
      <c r="B15" s="16" t="s">
        <v>1353</v>
      </c>
      <c r="C15" s="16" t="s">
        <v>1402</v>
      </c>
      <c r="D15" s="16" t="s">
        <v>1413</v>
      </c>
      <c r="E15" s="17" t="s">
        <v>84</v>
      </c>
      <c r="F15" s="18" t="s">
        <v>85</v>
      </c>
      <c r="G15" s="16" t="s">
        <v>1414</v>
      </c>
      <c r="H15" s="16" t="s">
        <v>1415</v>
      </c>
      <c r="I15" s="16" t="s">
        <v>1416</v>
      </c>
      <c r="J15" s="16" t="s">
        <v>1417</v>
      </c>
      <c r="K15" s="16" t="s">
        <v>16</v>
      </c>
      <c r="L15" s="19" t="s">
        <v>90</v>
      </c>
      <c r="M15" s="16" t="s">
        <v>16</v>
      </c>
      <c r="N15" s="20" t="s">
        <v>16</v>
      </c>
      <c r="O15" s="16" t="s">
        <v>16</v>
      </c>
    </row>
  </sheetData>
  <autoFilter ref="A3:O15"/>
  <mergeCells count="2">
    <mergeCell ref="A1:O1"/>
    <mergeCell ref="A2:O2"/>
  </mergeCells>
  <conditionalFormatting sqref="L4:L15">
    <cfRule type="containsText" dxfId="27" priority="1">
      <formula>NOT(ISERROR(SEARCH("Pass",L4)))</formula>
    </cfRule>
    <cfRule type="containsText" dxfId="28" priority="2">
      <formula>NOT(ISERROR(SEARCH("Fail",L4)))</formula>
    </cfRule>
    <cfRule type="containsText" dxfId="29" priority="3">
      <formula>NOT(ISERROR(SEARCH("Blocked",L4)))</formula>
    </cfRule>
  </conditionalFormatting>
  <dataValidations count="2">
    <dataValidation type="list" showErrorMessage="1" errorTitle="Invalid status" error="Choose: Not Executed, Pass, Fail, Blocked or N/A" sqref="L10:L15">
      <formula1>"Not Executed,Pass,Fail,Blocked,N/A"</formula1>
    </dataValidation>
    <dataValidation type="list" showErrorMessage="1" errorTitle="Invalid status" error="Choose: Not Executed, Pass, Fail, Blocked or N/A" sqref="L4:L15">
      <formula1>"Not Executed,Pass,Fail,Blocked,N/A"</formula1>
    </dataValidation>
  </dataValidation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workbookViewId="0" zoomScale="90">
      <pane xSplit="1" ySplit="3" topLeftCell="B4" activePane="bottomRight" state="frozen"/>
      <selection pane="bottomRight"/>
    </sheetView>
  </sheetViews>
  <sheetFormatPr defaultRowHeight="15" outlineLevelRow="0" outlineLevelCol="0" x14ac:dyDescent="55"/>
  <cols>
    <col min="1" max="1" width="12" customWidth="1"/>
    <col min="2" max="2" width="20" customWidth="1"/>
    <col min="3" max="3" width="22" customWidth="1"/>
    <col min="4" max="4" width="46" customWidth="1"/>
    <col min="5" max="5" width="14" customWidth="1"/>
    <col min="6" max="6" width="10" customWidth="1"/>
    <col min="7" max="7" width="38" customWidth="1"/>
    <col min="8" max="8" width="50" customWidth="1"/>
    <col min="9" max="9" width="26" customWidth="1"/>
    <col min="10" max="10" width="66" customWidth="1"/>
    <col min="11" max="11" width="30" customWidth="1"/>
    <col min="12" max="14" width="14" customWidth="1"/>
    <col min="15" max="15" width="26" customWidth="1"/>
  </cols>
  <sheetData>
    <row r="1" ht="28" customHeight="1" spans="1:15" x14ac:dyDescent="0.25">
      <c r="A1" s="6" t="s">
        <v>1418</v>
      </c>
      <c r="B1" s="6"/>
      <c r="C1" s="6"/>
      <c r="D1" s="6"/>
      <c r="E1" s="6"/>
      <c r="F1" s="6"/>
      <c r="G1" s="6"/>
      <c r="H1" s="6"/>
      <c r="I1" s="6"/>
      <c r="J1" s="6"/>
      <c r="K1" s="6"/>
      <c r="L1" s="6"/>
      <c r="M1" s="6"/>
      <c r="N1" s="6"/>
      <c r="O1" s="6"/>
    </row>
    <row r="2" ht="20" customHeight="1" spans="1:15" x14ac:dyDescent="0.25">
      <c r="A2" s="7" t="s">
        <v>1351</v>
      </c>
      <c r="B2" s="7"/>
      <c r="C2" s="7"/>
      <c r="D2" s="7"/>
      <c r="E2" s="7"/>
      <c r="F2" s="7"/>
      <c r="G2" s="7"/>
      <c r="H2" s="7"/>
      <c r="I2" s="7"/>
      <c r="J2" s="7"/>
      <c r="K2" s="7"/>
      <c r="L2" s="7"/>
      <c r="M2" s="7"/>
      <c r="N2" s="7"/>
      <c r="O2" s="7"/>
    </row>
    <row r="3" ht="30" customHeight="1" spans="1:15" x14ac:dyDescent="0.25">
      <c r="A3" s="8" t="s">
        <v>65</v>
      </c>
      <c r="B3" s="8" t="s">
        <v>66</v>
      </c>
      <c r="C3" s="8" t="s">
        <v>67</v>
      </c>
      <c r="D3" s="8" t="s">
        <v>68</v>
      </c>
      <c r="E3" s="8" t="s">
        <v>69</v>
      </c>
      <c r="F3" s="8" t="s">
        <v>70</v>
      </c>
      <c r="G3" s="8" t="s">
        <v>71</v>
      </c>
      <c r="H3" s="8" t="s">
        <v>72</v>
      </c>
      <c r="I3" s="8" t="s">
        <v>73</v>
      </c>
      <c r="J3" s="8" t="s">
        <v>74</v>
      </c>
      <c r="K3" s="8" t="s">
        <v>75</v>
      </c>
      <c r="L3" s="8" t="s">
        <v>76</v>
      </c>
      <c r="M3" s="8" t="s">
        <v>77</v>
      </c>
      <c r="N3" s="8" t="s">
        <v>78</v>
      </c>
      <c r="O3" s="8" t="s">
        <v>79</v>
      </c>
    </row>
    <row r="4" ht="46" customHeight="1" spans="1:15" x14ac:dyDescent="0.25">
      <c r="A4" s="9" t="s">
        <v>1419</v>
      </c>
      <c r="B4" s="10" t="s">
        <v>1420</v>
      </c>
      <c r="C4" s="10" t="s">
        <v>1421</v>
      </c>
      <c r="D4" s="10" t="s">
        <v>1422</v>
      </c>
      <c r="E4" s="11" t="s">
        <v>93</v>
      </c>
      <c r="F4" s="12" t="s">
        <v>85</v>
      </c>
      <c r="G4" s="10" t="s">
        <v>1423</v>
      </c>
      <c r="H4" s="10" t="s">
        <v>1424</v>
      </c>
      <c r="I4" s="10" t="s">
        <v>139</v>
      </c>
      <c r="J4" s="10" t="s">
        <v>1425</v>
      </c>
      <c r="K4" s="10" t="s">
        <v>16</v>
      </c>
      <c r="L4" s="13" t="s">
        <v>90</v>
      </c>
      <c r="M4" s="10" t="s">
        <v>16</v>
      </c>
      <c r="N4" s="14" t="s">
        <v>16</v>
      </c>
      <c r="O4" s="10" t="s">
        <v>16</v>
      </c>
    </row>
    <row r="5" ht="46" customHeight="1" spans="1:15" x14ac:dyDescent="0.25">
      <c r="A5" s="15" t="s">
        <v>1426</v>
      </c>
      <c r="B5" s="16" t="s">
        <v>1420</v>
      </c>
      <c r="C5" s="16" t="s">
        <v>1421</v>
      </c>
      <c r="D5" s="16" t="s">
        <v>1427</v>
      </c>
      <c r="E5" s="17" t="s">
        <v>305</v>
      </c>
      <c r="F5" s="18" t="s">
        <v>85</v>
      </c>
      <c r="G5" s="16" t="s">
        <v>1428</v>
      </c>
      <c r="H5" s="16" t="s">
        <v>1429</v>
      </c>
      <c r="I5" s="16" t="s">
        <v>139</v>
      </c>
      <c r="J5" s="16" t="s">
        <v>1430</v>
      </c>
      <c r="K5" s="16" t="s">
        <v>16</v>
      </c>
      <c r="L5" s="19" t="s">
        <v>90</v>
      </c>
      <c r="M5" s="16" t="s">
        <v>16</v>
      </c>
      <c r="N5" s="20" t="s">
        <v>16</v>
      </c>
      <c r="O5" s="16" t="s">
        <v>16</v>
      </c>
    </row>
    <row r="6" ht="46" customHeight="1" spans="1:15" x14ac:dyDescent="0.25">
      <c r="A6" s="9" t="s">
        <v>1431</v>
      </c>
      <c r="B6" s="10" t="s">
        <v>1420</v>
      </c>
      <c r="C6" s="10" t="s">
        <v>1432</v>
      </c>
      <c r="D6" s="10" t="s">
        <v>1433</v>
      </c>
      <c r="E6" s="11" t="s">
        <v>84</v>
      </c>
      <c r="F6" s="12" t="s">
        <v>85</v>
      </c>
      <c r="G6" s="10" t="s">
        <v>1434</v>
      </c>
      <c r="H6" s="10" t="s">
        <v>1435</v>
      </c>
      <c r="I6" s="10" t="s">
        <v>139</v>
      </c>
      <c r="J6" s="10" t="s">
        <v>1436</v>
      </c>
      <c r="K6" s="10" t="s">
        <v>16</v>
      </c>
      <c r="L6" s="13" t="s">
        <v>90</v>
      </c>
      <c r="M6" s="10" t="s">
        <v>16</v>
      </c>
      <c r="N6" s="14" t="s">
        <v>16</v>
      </c>
      <c r="O6" s="10" t="s">
        <v>16</v>
      </c>
    </row>
    <row r="7" ht="46" customHeight="1" spans="1:15" x14ac:dyDescent="0.25">
      <c r="A7" s="15" t="s">
        <v>1437</v>
      </c>
      <c r="B7" s="16" t="s">
        <v>1420</v>
      </c>
      <c r="C7" s="16" t="s">
        <v>1438</v>
      </c>
      <c r="D7" s="16" t="s">
        <v>1439</v>
      </c>
      <c r="E7" s="17" t="s">
        <v>93</v>
      </c>
      <c r="F7" s="18" t="s">
        <v>85</v>
      </c>
      <c r="G7" s="16" t="s">
        <v>1440</v>
      </c>
      <c r="H7" s="16" t="s">
        <v>1441</v>
      </c>
      <c r="I7" s="16" t="s">
        <v>139</v>
      </c>
      <c r="J7" s="16" t="s">
        <v>1442</v>
      </c>
      <c r="K7" s="16" t="s">
        <v>16</v>
      </c>
      <c r="L7" s="19" t="s">
        <v>90</v>
      </c>
      <c r="M7" s="16" t="s">
        <v>16</v>
      </c>
      <c r="N7" s="20" t="s">
        <v>16</v>
      </c>
      <c r="O7" s="16" t="s">
        <v>16</v>
      </c>
    </row>
    <row r="8" ht="46" customHeight="1" spans="1:15" x14ac:dyDescent="0.25">
      <c r="A8" s="9" t="s">
        <v>1443</v>
      </c>
      <c r="B8" s="10" t="s">
        <v>1420</v>
      </c>
      <c r="C8" s="10" t="s">
        <v>1438</v>
      </c>
      <c r="D8" s="10" t="s">
        <v>1444</v>
      </c>
      <c r="E8" s="11" t="s">
        <v>93</v>
      </c>
      <c r="F8" s="12" t="s">
        <v>85</v>
      </c>
      <c r="G8" s="10" t="s">
        <v>1445</v>
      </c>
      <c r="H8" s="10" t="s">
        <v>1446</v>
      </c>
      <c r="I8" s="10" t="s">
        <v>500</v>
      </c>
      <c r="J8" s="10" t="s">
        <v>1447</v>
      </c>
      <c r="K8" s="10" t="s">
        <v>16</v>
      </c>
      <c r="L8" s="13" t="s">
        <v>90</v>
      </c>
      <c r="M8" s="10" t="s">
        <v>16</v>
      </c>
      <c r="N8" s="14" t="s">
        <v>16</v>
      </c>
      <c r="O8" s="10" t="s">
        <v>16</v>
      </c>
    </row>
    <row r="9" ht="46" customHeight="1" spans="1:15" x14ac:dyDescent="0.25">
      <c r="A9" s="15" t="s">
        <v>1448</v>
      </c>
      <c r="B9" s="16" t="s">
        <v>1420</v>
      </c>
      <c r="C9" s="16" t="s">
        <v>1438</v>
      </c>
      <c r="D9" s="16" t="s">
        <v>1449</v>
      </c>
      <c r="E9" s="17" t="s">
        <v>93</v>
      </c>
      <c r="F9" s="18" t="s">
        <v>85</v>
      </c>
      <c r="G9" s="16" t="s">
        <v>1450</v>
      </c>
      <c r="H9" s="16" t="s">
        <v>1451</v>
      </c>
      <c r="I9" s="16" t="s">
        <v>139</v>
      </c>
      <c r="J9" s="16" t="s">
        <v>1452</v>
      </c>
      <c r="K9" s="16" t="s">
        <v>16</v>
      </c>
      <c r="L9" s="19" t="s">
        <v>90</v>
      </c>
      <c r="M9" s="16" t="s">
        <v>16</v>
      </c>
      <c r="N9" s="20" t="s">
        <v>16</v>
      </c>
      <c r="O9" s="16" t="s">
        <v>16</v>
      </c>
    </row>
    <row r="10" ht="46" customHeight="1" spans="1:15" x14ac:dyDescent="0.25">
      <c r="A10" s="9" t="s">
        <v>1453</v>
      </c>
      <c r="B10" s="10" t="s">
        <v>1420</v>
      </c>
      <c r="C10" s="10" t="s">
        <v>1438</v>
      </c>
      <c r="D10" s="10" t="s">
        <v>1454</v>
      </c>
      <c r="E10" s="11" t="s">
        <v>93</v>
      </c>
      <c r="F10" s="12" t="s">
        <v>85</v>
      </c>
      <c r="G10" s="10" t="s">
        <v>1455</v>
      </c>
      <c r="H10" s="10" t="s">
        <v>1456</v>
      </c>
      <c r="I10" s="10" t="s">
        <v>1457</v>
      </c>
      <c r="J10" s="10" t="s">
        <v>1458</v>
      </c>
      <c r="K10" s="10" t="s">
        <v>16</v>
      </c>
      <c r="L10" s="13" t="s">
        <v>90</v>
      </c>
      <c r="M10" s="10" t="s">
        <v>16</v>
      </c>
      <c r="N10" s="14" t="s">
        <v>16</v>
      </c>
      <c r="O10" s="10" t="s">
        <v>16</v>
      </c>
    </row>
    <row r="11" ht="46" customHeight="1" spans="1:15" x14ac:dyDescent="0.25">
      <c r="A11" s="15" t="s">
        <v>1459</v>
      </c>
      <c r="B11" s="16" t="s">
        <v>1420</v>
      </c>
      <c r="C11" s="16" t="s">
        <v>1460</v>
      </c>
      <c r="D11" s="16" t="s">
        <v>1461</v>
      </c>
      <c r="E11" s="17" t="s">
        <v>93</v>
      </c>
      <c r="F11" s="18" t="s">
        <v>85</v>
      </c>
      <c r="G11" s="16" t="s">
        <v>1462</v>
      </c>
      <c r="H11" s="16" t="s">
        <v>1463</v>
      </c>
      <c r="I11" s="16" t="s">
        <v>1464</v>
      </c>
      <c r="J11" s="16" t="s">
        <v>1465</v>
      </c>
      <c r="K11" s="16" t="s">
        <v>16</v>
      </c>
      <c r="L11" s="19" t="s">
        <v>90</v>
      </c>
      <c r="M11" s="16" t="s">
        <v>16</v>
      </c>
      <c r="N11" s="20" t="s">
        <v>16</v>
      </c>
      <c r="O11" s="16" t="s">
        <v>16</v>
      </c>
    </row>
    <row r="12" ht="46" customHeight="1" spans="1:15" x14ac:dyDescent="0.25">
      <c r="A12" s="9" t="s">
        <v>1466</v>
      </c>
      <c r="B12" s="10" t="s">
        <v>1420</v>
      </c>
      <c r="C12" s="10" t="s">
        <v>1460</v>
      </c>
      <c r="D12" s="10" t="s">
        <v>1467</v>
      </c>
      <c r="E12" s="11" t="s">
        <v>150</v>
      </c>
      <c r="F12" s="12" t="s">
        <v>85</v>
      </c>
      <c r="G12" s="10" t="s">
        <v>1468</v>
      </c>
      <c r="H12" s="10" t="s">
        <v>1469</v>
      </c>
      <c r="I12" s="10" t="s">
        <v>139</v>
      </c>
      <c r="J12" s="10" t="s">
        <v>1470</v>
      </c>
      <c r="K12" s="10" t="s">
        <v>16</v>
      </c>
      <c r="L12" s="13" t="s">
        <v>90</v>
      </c>
      <c r="M12" s="10" t="s">
        <v>16</v>
      </c>
      <c r="N12" s="14" t="s">
        <v>16</v>
      </c>
      <c r="O12" s="10" t="s">
        <v>16</v>
      </c>
    </row>
    <row r="13" ht="46" customHeight="1" spans="1:15" x14ac:dyDescent="0.25">
      <c r="A13" s="15" t="s">
        <v>1471</v>
      </c>
      <c r="B13" s="16" t="s">
        <v>1420</v>
      </c>
      <c r="C13" s="16" t="s">
        <v>1472</v>
      </c>
      <c r="D13" s="16" t="s">
        <v>1473</v>
      </c>
      <c r="E13" s="17" t="s">
        <v>150</v>
      </c>
      <c r="F13" s="18" t="s">
        <v>85</v>
      </c>
      <c r="G13" s="16" t="s">
        <v>1474</v>
      </c>
      <c r="H13" s="16" t="s">
        <v>1475</v>
      </c>
      <c r="I13" s="16" t="s">
        <v>139</v>
      </c>
      <c r="J13" s="16" t="s">
        <v>1476</v>
      </c>
      <c r="K13" s="16" t="s">
        <v>16</v>
      </c>
      <c r="L13" s="19" t="s">
        <v>90</v>
      </c>
      <c r="M13" s="16" t="s">
        <v>16</v>
      </c>
      <c r="N13" s="20" t="s">
        <v>16</v>
      </c>
      <c r="O13" s="16" t="s">
        <v>16</v>
      </c>
    </row>
    <row r="14" ht="46" customHeight="1" spans="1:15" x14ac:dyDescent="0.25">
      <c r="A14" s="9" t="s">
        <v>1477</v>
      </c>
      <c r="B14" s="10" t="s">
        <v>1420</v>
      </c>
      <c r="C14" s="10" t="s">
        <v>1344</v>
      </c>
      <c r="D14" s="10" t="s">
        <v>1478</v>
      </c>
      <c r="E14" s="11" t="s">
        <v>84</v>
      </c>
      <c r="F14" s="12" t="s">
        <v>85</v>
      </c>
      <c r="G14" s="10" t="s">
        <v>1479</v>
      </c>
      <c r="H14" s="10" t="s">
        <v>1480</v>
      </c>
      <c r="I14" s="10" t="s">
        <v>139</v>
      </c>
      <c r="J14" s="10" t="s">
        <v>1481</v>
      </c>
      <c r="K14" s="10" t="s">
        <v>16</v>
      </c>
      <c r="L14" s="13" t="s">
        <v>90</v>
      </c>
      <c r="M14" s="10" t="s">
        <v>16</v>
      </c>
      <c r="N14" s="14" t="s">
        <v>16</v>
      </c>
      <c r="O14" s="10" t="s">
        <v>16</v>
      </c>
    </row>
    <row r="15" ht="46" customHeight="1" spans="1:15" x14ac:dyDescent="0.25">
      <c r="A15" s="15" t="s">
        <v>1482</v>
      </c>
      <c r="B15" s="16" t="s">
        <v>1420</v>
      </c>
      <c r="C15" s="16" t="s">
        <v>685</v>
      </c>
      <c r="D15" s="16" t="s">
        <v>1483</v>
      </c>
      <c r="E15" s="17" t="s">
        <v>84</v>
      </c>
      <c r="F15" s="18" t="s">
        <v>85</v>
      </c>
      <c r="G15" s="16" t="s">
        <v>1484</v>
      </c>
      <c r="H15" s="16" t="s">
        <v>1485</v>
      </c>
      <c r="I15" s="16" t="s">
        <v>139</v>
      </c>
      <c r="J15" s="16" t="s">
        <v>1486</v>
      </c>
      <c r="K15" s="16" t="s">
        <v>16</v>
      </c>
      <c r="L15" s="19" t="s">
        <v>90</v>
      </c>
      <c r="M15" s="16" t="s">
        <v>16</v>
      </c>
      <c r="N15" s="20" t="s">
        <v>16</v>
      </c>
      <c r="O15" s="16" t="s">
        <v>16</v>
      </c>
    </row>
  </sheetData>
  <autoFilter ref="A3:O15"/>
  <mergeCells count="2">
    <mergeCell ref="A1:O1"/>
    <mergeCell ref="A2:O2"/>
  </mergeCells>
  <conditionalFormatting sqref="L4:L15">
    <cfRule type="containsText" dxfId="30" priority="1">
      <formula>NOT(ISERROR(SEARCH("Pass",L4)))</formula>
    </cfRule>
    <cfRule type="containsText" dxfId="31" priority="2">
      <formula>NOT(ISERROR(SEARCH("Fail",L4)))</formula>
    </cfRule>
    <cfRule type="containsText" dxfId="32" priority="3">
      <formula>NOT(ISERROR(SEARCH("Blocked",L4)))</formula>
    </cfRule>
  </conditionalFormatting>
  <dataValidations count="2">
    <dataValidation type="list" showErrorMessage="1" errorTitle="Invalid status" error="Choose: Not Executed, Pass, Fail, Blocked or N/A" sqref="L10:L15">
      <formula1>"Not Executed,Pass,Fail,Blocked,N/A"</formula1>
    </dataValidation>
    <dataValidation type="list" showErrorMessage="1" errorTitle="Invalid status" error="Choose: Not Executed, Pass, Fail, Blocked or N/A" sqref="L4:L15">
      <formula1>"Not Executed,Pass,Fail,Blocked,N/A"</formula1>
    </dataValidation>
  </dataValidation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workbookViewId="0" zoomScale="90">
      <pane xSplit="1" ySplit="3" topLeftCell="B4" activePane="bottomRight" state="frozen"/>
      <selection pane="bottomRight"/>
    </sheetView>
  </sheetViews>
  <sheetFormatPr defaultRowHeight="15" outlineLevelRow="0" outlineLevelCol="0" x14ac:dyDescent="55"/>
  <cols>
    <col min="1" max="1" width="12" customWidth="1"/>
    <col min="2" max="2" width="20" customWidth="1"/>
    <col min="3" max="3" width="22" customWidth="1"/>
    <col min="4" max="4" width="46" customWidth="1"/>
    <col min="5" max="5" width="14" customWidth="1"/>
    <col min="6" max="6" width="10" customWidth="1"/>
    <col min="7" max="7" width="38" customWidth="1"/>
    <col min="8" max="8" width="50" customWidth="1"/>
    <col min="9" max="9" width="26" customWidth="1"/>
    <col min="10" max="10" width="66" customWidth="1"/>
    <col min="11" max="11" width="30" customWidth="1"/>
    <col min="12" max="14" width="14" customWidth="1"/>
    <col min="15" max="15" width="26" customWidth="1"/>
  </cols>
  <sheetData>
    <row r="1" ht="28" customHeight="1" spans="1:15" x14ac:dyDescent="0.25">
      <c r="A1" s="6" t="s">
        <v>1487</v>
      </c>
      <c r="B1" s="6"/>
      <c r="C1" s="6"/>
      <c r="D1" s="6"/>
      <c r="E1" s="6"/>
      <c r="F1" s="6"/>
      <c r="G1" s="6"/>
      <c r="H1" s="6"/>
      <c r="I1" s="6"/>
      <c r="J1" s="6"/>
      <c r="K1" s="6"/>
      <c r="L1" s="6"/>
      <c r="M1" s="6"/>
      <c r="N1" s="6"/>
      <c r="O1" s="6"/>
    </row>
    <row r="2" ht="20" customHeight="1" spans="1:15" x14ac:dyDescent="0.25">
      <c r="A2" s="7" t="s">
        <v>1351</v>
      </c>
      <c r="B2" s="7"/>
      <c r="C2" s="7"/>
      <c r="D2" s="7"/>
      <c r="E2" s="7"/>
      <c r="F2" s="7"/>
      <c r="G2" s="7"/>
      <c r="H2" s="7"/>
      <c r="I2" s="7"/>
      <c r="J2" s="7"/>
      <c r="K2" s="7"/>
      <c r="L2" s="7"/>
      <c r="M2" s="7"/>
      <c r="N2" s="7"/>
      <c r="O2" s="7"/>
    </row>
    <row r="3" ht="30" customHeight="1" spans="1:15" x14ac:dyDescent="0.25">
      <c r="A3" s="8" t="s">
        <v>65</v>
      </c>
      <c r="B3" s="8" t="s">
        <v>66</v>
      </c>
      <c r="C3" s="8" t="s">
        <v>67</v>
      </c>
      <c r="D3" s="8" t="s">
        <v>68</v>
      </c>
      <c r="E3" s="8" t="s">
        <v>69</v>
      </c>
      <c r="F3" s="8" t="s">
        <v>70</v>
      </c>
      <c r="G3" s="8" t="s">
        <v>71</v>
      </c>
      <c r="H3" s="8" t="s">
        <v>72</v>
      </c>
      <c r="I3" s="8" t="s">
        <v>73</v>
      </c>
      <c r="J3" s="8" t="s">
        <v>74</v>
      </c>
      <c r="K3" s="8" t="s">
        <v>75</v>
      </c>
      <c r="L3" s="8" t="s">
        <v>76</v>
      </c>
      <c r="M3" s="8" t="s">
        <v>77</v>
      </c>
      <c r="N3" s="8" t="s">
        <v>78</v>
      </c>
      <c r="O3" s="8" t="s">
        <v>79</v>
      </c>
    </row>
    <row r="4" ht="46" customHeight="1" spans="1:15" x14ac:dyDescent="0.25">
      <c r="A4" s="9" t="s">
        <v>1488</v>
      </c>
      <c r="B4" s="10" t="s">
        <v>781</v>
      </c>
      <c r="C4" s="10" t="s">
        <v>1489</v>
      </c>
      <c r="D4" s="10" t="s">
        <v>1490</v>
      </c>
      <c r="E4" s="11" t="s">
        <v>93</v>
      </c>
      <c r="F4" s="12" t="s">
        <v>85</v>
      </c>
      <c r="G4" s="10" t="s">
        <v>1491</v>
      </c>
      <c r="H4" s="10" t="s">
        <v>1492</v>
      </c>
      <c r="I4" s="10" t="s">
        <v>1493</v>
      </c>
      <c r="J4" s="10" t="s">
        <v>1494</v>
      </c>
      <c r="K4" s="10" t="s">
        <v>16</v>
      </c>
      <c r="L4" s="13" t="s">
        <v>90</v>
      </c>
      <c r="M4" s="10" t="s">
        <v>16</v>
      </c>
      <c r="N4" s="14" t="s">
        <v>16</v>
      </c>
      <c r="O4" s="10" t="s">
        <v>16</v>
      </c>
    </row>
    <row r="5" ht="46" customHeight="1" spans="1:15" x14ac:dyDescent="0.25">
      <c r="A5" s="15" t="s">
        <v>1495</v>
      </c>
      <c r="B5" s="16" t="s">
        <v>781</v>
      </c>
      <c r="C5" s="16" t="s">
        <v>1489</v>
      </c>
      <c r="D5" s="16" t="s">
        <v>1496</v>
      </c>
      <c r="E5" s="17" t="s">
        <v>93</v>
      </c>
      <c r="F5" s="18" t="s">
        <v>85</v>
      </c>
      <c r="G5" s="16" t="s">
        <v>1497</v>
      </c>
      <c r="H5" s="16" t="s">
        <v>1498</v>
      </c>
      <c r="I5" s="16" t="s">
        <v>139</v>
      </c>
      <c r="J5" s="16" t="s">
        <v>1499</v>
      </c>
      <c r="K5" s="16" t="s">
        <v>16</v>
      </c>
      <c r="L5" s="19" t="s">
        <v>90</v>
      </c>
      <c r="M5" s="16" t="s">
        <v>16</v>
      </c>
      <c r="N5" s="20" t="s">
        <v>16</v>
      </c>
      <c r="O5" s="16" t="s">
        <v>16</v>
      </c>
    </row>
    <row r="6" ht="46" customHeight="1" spans="1:15" x14ac:dyDescent="0.25">
      <c r="A6" s="9" t="s">
        <v>1500</v>
      </c>
      <c r="B6" s="10" t="s">
        <v>781</v>
      </c>
      <c r="C6" s="10" t="s">
        <v>1489</v>
      </c>
      <c r="D6" s="10" t="s">
        <v>1501</v>
      </c>
      <c r="E6" s="11" t="s">
        <v>305</v>
      </c>
      <c r="F6" s="13" t="s">
        <v>124</v>
      </c>
      <c r="G6" s="10" t="s">
        <v>1502</v>
      </c>
      <c r="H6" s="10" t="s">
        <v>1503</v>
      </c>
      <c r="I6" s="10" t="s">
        <v>139</v>
      </c>
      <c r="J6" s="10" t="s">
        <v>1504</v>
      </c>
      <c r="K6" s="10" t="s">
        <v>16</v>
      </c>
      <c r="L6" s="13" t="s">
        <v>90</v>
      </c>
      <c r="M6" s="10" t="s">
        <v>16</v>
      </c>
      <c r="N6" s="14" t="s">
        <v>16</v>
      </c>
      <c r="O6" s="10" t="s">
        <v>16</v>
      </c>
    </row>
    <row r="7" ht="46" customHeight="1" spans="1:15" x14ac:dyDescent="0.25">
      <c r="A7" s="15" t="s">
        <v>1505</v>
      </c>
      <c r="B7" s="16" t="s">
        <v>781</v>
      </c>
      <c r="C7" s="16" t="s">
        <v>1506</v>
      </c>
      <c r="D7" s="16" t="s">
        <v>1507</v>
      </c>
      <c r="E7" s="17" t="s">
        <v>93</v>
      </c>
      <c r="F7" s="18" t="s">
        <v>85</v>
      </c>
      <c r="G7" s="16" t="s">
        <v>1508</v>
      </c>
      <c r="H7" s="16" t="s">
        <v>1509</v>
      </c>
      <c r="I7" s="16" t="s">
        <v>139</v>
      </c>
      <c r="J7" s="16" t="s">
        <v>1510</v>
      </c>
      <c r="K7" s="16" t="s">
        <v>16</v>
      </c>
      <c r="L7" s="19" t="s">
        <v>90</v>
      </c>
      <c r="M7" s="16" t="s">
        <v>16</v>
      </c>
      <c r="N7" s="20" t="s">
        <v>16</v>
      </c>
      <c r="O7" s="16" t="s">
        <v>16</v>
      </c>
    </row>
    <row r="8" ht="70" customHeight="1" spans="1:15" x14ac:dyDescent="0.25">
      <c r="A8" s="9" t="s">
        <v>1511</v>
      </c>
      <c r="B8" s="10" t="s">
        <v>781</v>
      </c>
      <c r="C8" s="10" t="s">
        <v>1506</v>
      </c>
      <c r="D8" s="10" t="s">
        <v>1512</v>
      </c>
      <c r="E8" s="11" t="s">
        <v>93</v>
      </c>
      <c r="F8" s="12" t="s">
        <v>85</v>
      </c>
      <c r="G8" s="10" t="s">
        <v>1513</v>
      </c>
      <c r="H8" s="10" t="s">
        <v>1514</v>
      </c>
      <c r="I8" s="10" t="s">
        <v>139</v>
      </c>
      <c r="J8" s="10" t="s">
        <v>1515</v>
      </c>
      <c r="K8" s="10" t="s">
        <v>16</v>
      </c>
      <c r="L8" s="13" t="s">
        <v>90</v>
      </c>
      <c r="M8" s="10" t="s">
        <v>16</v>
      </c>
      <c r="N8" s="14" t="s">
        <v>16</v>
      </c>
      <c r="O8" s="10" t="s">
        <v>16</v>
      </c>
    </row>
    <row r="9" ht="46" customHeight="1" spans="1:15" x14ac:dyDescent="0.25">
      <c r="A9" s="15" t="s">
        <v>1516</v>
      </c>
      <c r="B9" s="16" t="s">
        <v>781</v>
      </c>
      <c r="C9" s="16" t="s">
        <v>1517</v>
      </c>
      <c r="D9" s="16" t="s">
        <v>1518</v>
      </c>
      <c r="E9" s="17" t="s">
        <v>93</v>
      </c>
      <c r="F9" s="18" t="s">
        <v>85</v>
      </c>
      <c r="G9" s="16" t="s">
        <v>1519</v>
      </c>
      <c r="H9" s="16" t="s">
        <v>1520</v>
      </c>
      <c r="I9" s="16" t="s">
        <v>139</v>
      </c>
      <c r="J9" s="16" t="s">
        <v>1521</v>
      </c>
      <c r="K9" s="16" t="s">
        <v>16</v>
      </c>
      <c r="L9" s="19" t="s">
        <v>90</v>
      </c>
      <c r="M9" s="16" t="s">
        <v>16</v>
      </c>
      <c r="N9" s="20" t="s">
        <v>16</v>
      </c>
      <c r="O9" s="16" t="s">
        <v>16</v>
      </c>
    </row>
    <row r="10" ht="46" customHeight="1" spans="1:15" x14ac:dyDescent="0.25">
      <c r="A10" s="9" t="s">
        <v>1522</v>
      </c>
      <c r="B10" s="10" t="s">
        <v>781</v>
      </c>
      <c r="C10" s="10" t="s">
        <v>1523</v>
      </c>
      <c r="D10" s="10" t="s">
        <v>1524</v>
      </c>
      <c r="E10" s="11" t="s">
        <v>93</v>
      </c>
      <c r="F10" s="12" t="s">
        <v>85</v>
      </c>
      <c r="G10" s="10" t="s">
        <v>1525</v>
      </c>
      <c r="H10" s="10" t="s">
        <v>1526</v>
      </c>
      <c r="I10" s="10" t="s">
        <v>139</v>
      </c>
      <c r="J10" s="10" t="s">
        <v>1527</v>
      </c>
      <c r="K10" s="10" t="s">
        <v>16</v>
      </c>
      <c r="L10" s="13" t="s">
        <v>90</v>
      </c>
      <c r="M10" s="10" t="s">
        <v>16</v>
      </c>
      <c r="N10" s="14" t="s">
        <v>16</v>
      </c>
      <c r="O10" s="10" t="s">
        <v>16</v>
      </c>
    </row>
    <row r="11" ht="46" customHeight="1" spans="1:15" x14ac:dyDescent="0.25">
      <c r="A11" s="15" t="s">
        <v>1528</v>
      </c>
      <c r="B11" s="16" t="s">
        <v>781</v>
      </c>
      <c r="C11" s="16" t="s">
        <v>1523</v>
      </c>
      <c r="D11" s="16" t="s">
        <v>1529</v>
      </c>
      <c r="E11" s="17" t="s">
        <v>230</v>
      </c>
      <c r="F11" s="18" t="s">
        <v>85</v>
      </c>
      <c r="G11" s="16" t="s">
        <v>1530</v>
      </c>
      <c r="H11" s="16" t="s">
        <v>1531</v>
      </c>
      <c r="I11" s="16" t="s">
        <v>139</v>
      </c>
      <c r="J11" s="16" t="s">
        <v>1532</v>
      </c>
      <c r="K11" s="16" t="s">
        <v>16</v>
      </c>
      <c r="L11" s="19" t="s">
        <v>90</v>
      </c>
      <c r="M11" s="16" t="s">
        <v>16</v>
      </c>
      <c r="N11" s="20" t="s">
        <v>16</v>
      </c>
      <c r="O11" s="16" t="s">
        <v>16</v>
      </c>
    </row>
    <row r="12" ht="46" customHeight="1" spans="1:15" x14ac:dyDescent="0.25">
      <c r="A12" s="9" t="s">
        <v>1533</v>
      </c>
      <c r="B12" s="10" t="s">
        <v>781</v>
      </c>
      <c r="C12" s="10" t="s">
        <v>1523</v>
      </c>
      <c r="D12" s="10" t="s">
        <v>1534</v>
      </c>
      <c r="E12" s="11" t="s">
        <v>150</v>
      </c>
      <c r="F12" s="12" t="s">
        <v>85</v>
      </c>
      <c r="G12" s="10" t="s">
        <v>1109</v>
      </c>
      <c r="H12" s="10" t="s">
        <v>1535</v>
      </c>
      <c r="I12" s="10" t="s">
        <v>1536</v>
      </c>
      <c r="J12" s="10" t="s">
        <v>1537</v>
      </c>
      <c r="K12" s="10" t="s">
        <v>16</v>
      </c>
      <c r="L12" s="13" t="s">
        <v>90</v>
      </c>
      <c r="M12" s="10" t="s">
        <v>16</v>
      </c>
      <c r="N12" s="14" t="s">
        <v>16</v>
      </c>
      <c r="O12" s="10" t="s">
        <v>16</v>
      </c>
    </row>
    <row r="13" ht="46" customHeight="1" spans="1:15" x14ac:dyDescent="0.25">
      <c r="A13" s="15" t="s">
        <v>1538</v>
      </c>
      <c r="B13" s="16" t="s">
        <v>781</v>
      </c>
      <c r="C13" s="16" t="s">
        <v>1539</v>
      </c>
      <c r="D13" s="16" t="s">
        <v>1540</v>
      </c>
      <c r="E13" s="17" t="s">
        <v>84</v>
      </c>
      <c r="F13" s="18" t="s">
        <v>85</v>
      </c>
      <c r="G13" s="16" t="s">
        <v>1541</v>
      </c>
      <c r="H13" s="16" t="s">
        <v>1542</v>
      </c>
      <c r="I13" s="16" t="s">
        <v>139</v>
      </c>
      <c r="J13" s="16" t="s">
        <v>1543</v>
      </c>
      <c r="K13" s="16" t="s">
        <v>16</v>
      </c>
      <c r="L13" s="19" t="s">
        <v>90</v>
      </c>
      <c r="M13" s="16" t="s">
        <v>16</v>
      </c>
      <c r="N13" s="20" t="s">
        <v>16</v>
      </c>
      <c r="O13" s="16" t="s">
        <v>16</v>
      </c>
    </row>
    <row r="14" ht="46" customHeight="1" spans="1:15" x14ac:dyDescent="0.25">
      <c r="A14" s="9" t="s">
        <v>1544</v>
      </c>
      <c r="B14" s="10" t="s">
        <v>781</v>
      </c>
      <c r="C14" s="10" t="s">
        <v>1545</v>
      </c>
      <c r="D14" s="10" t="s">
        <v>1546</v>
      </c>
      <c r="E14" s="11" t="s">
        <v>93</v>
      </c>
      <c r="F14" s="13" t="s">
        <v>124</v>
      </c>
      <c r="G14" s="10" t="s">
        <v>1547</v>
      </c>
      <c r="H14" s="10" t="s">
        <v>1548</v>
      </c>
      <c r="I14" s="10" t="s">
        <v>1549</v>
      </c>
      <c r="J14" s="10" t="s">
        <v>1550</v>
      </c>
      <c r="K14" s="10" t="s">
        <v>16</v>
      </c>
      <c r="L14" s="13" t="s">
        <v>90</v>
      </c>
      <c r="M14" s="10" t="s">
        <v>16</v>
      </c>
      <c r="N14" s="14" t="s">
        <v>16</v>
      </c>
      <c r="O14" s="10" t="s">
        <v>16</v>
      </c>
    </row>
    <row r="15" ht="46" customHeight="1" spans="1:15" x14ac:dyDescent="0.25">
      <c r="A15" s="15" t="s">
        <v>1551</v>
      </c>
      <c r="B15" s="16" t="s">
        <v>781</v>
      </c>
      <c r="C15" s="16" t="s">
        <v>1552</v>
      </c>
      <c r="D15" s="16" t="s">
        <v>1553</v>
      </c>
      <c r="E15" s="17" t="s">
        <v>93</v>
      </c>
      <c r="F15" s="19" t="s">
        <v>124</v>
      </c>
      <c r="G15" s="16" t="s">
        <v>1043</v>
      </c>
      <c r="H15" s="16" t="s">
        <v>1554</v>
      </c>
      <c r="I15" s="16" t="s">
        <v>139</v>
      </c>
      <c r="J15" s="16" t="s">
        <v>1555</v>
      </c>
      <c r="K15" s="16" t="s">
        <v>16</v>
      </c>
      <c r="L15" s="19" t="s">
        <v>90</v>
      </c>
      <c r="M15" s="16" t="s">
        <v>16</v>
      </c>
      <c r="N15" s="20" t="s">
        <v>16</v>
      </c>
      <c r="O15" s="16" t="s">
        <v>16</v>
      </c>
    </row>
  </sheetData>
  <autoFilter ref="A3:O15"/>
  <mergeCells count="2">
    <mergeCell ref="A1:O1"/>
    <mergeCell ref="A2:O2"/>
  </mergeCells>
  <conditionalFormatting sqref="L4:L15">
    <cfRule type="containsText" dxfId="33" priority="1">
      <formula>NOT(ISERROR(SEARCH("Pass",L4)))</formula>
    </cfRule>
    <cfRule type="containsText" dxfId="34" priority="2">
      <formula>NOT(ISERROR(SEARCH("Fail",L4)))</formula>
    </cfRule>
    <cfRule type="containsText" dxfId="35" priority="3">
      <formula>NOT(ISERROR(SEARCH("Blocked",L4)))</formula>
    </cfRule>
  </conditionalFormatting>
  <dataValidations count="2">
    <dataValidation type="list" showErrorMessage="1" errorTitle="Invalid status" error="Choose: Not Executed, Pass, Fail, Blocked or N/A" sqref="L10:L15">
      <formula1>"Not Executed,Pass,Fail,Blocked,N/A"</formula1>
    </dataValidation>
    <dataValidation type="list" showErrorMessage="1" errorTitle="Invalid status" error="Choose: Not Executed, Pass, Fail, Blocked or N/A" sqref="L4:L15">
      <formula1>"Not Executed,Pass,Fail,Blocked,N/A"</formula1>
    </dataValidation>
  </dataValidation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
  <sheetViews>
    <sheetView workbookViewId="0" zoomScale="90">
      <pane xSplit="1" ySplit="3" topLeftCell="B4" activePane="bottomRight" state="frozen"/>
      <selection pane="bottomRight"/>
    </sheetView>
  </sheetViews>
  <sheetFormatPr defaultRowHeight="15" outlineLevelRow="0" outlineLevelCol="0" x14ac:dyDescent="55"/>
  <cols>
    <col min="1" max="1" width="12" customWidth="1"/>
    <col min="2" max="2" width="20" customWidth="1"/>
    <col min="3" max="3" width="22" customWidth="1"/>
    <col min="4" max="4" width="46" customWidth="1"/>
    <col min="5" max="5" width="14" customWidth="1"/>
    <col min="6" max="6" width="10" customWidth="1"/>
    <col min="7" max="7" width="38" customWidth="1"/>
    <col min="8" max="8" width="50" customWidth="1"/>
    <col min="9" max="9" width="26" customWidth="1"/>
    <col min="10" max="10" width="66" customWidth="1"/>
    <col min="11" max="11" width="30" customWidth="1"/>
    <col min="12" max="14" width="14" customWidth="1"/>
    <col min="15" max="15" width="26" customWidth="1"/>
  </cols>
  <sheetData>
    <row r="1" ht="28" customHeight="1" spans="1:15" x14ac:dyDescent="0.25">
      <c r="A1" s="6" t="s">
        <v>1556</v>
      </c>
      <c r="B1" s="6"/>
      <c r="C1" s="6"/>
      <c r="D1" s="6"/>
      <c r="E1" s="6"/>
      <c r="F1" s="6"/>
      <c r="G1" s="6"/>
      <c r="H1" s="6"/>
      <c r="I1" s="6"/>
      <c r="J1" s="6"/>
      <c r="K1" s="6"/>
      <c r="L1" s="6"/>
      <c r="M1" s="6"/>
      <c r="N1" s="6"/>
      <c r="O1" s="6"/>
    </row>
    <row r="2" ht="20" customHeight="1" spans="1:15" x14ac:dyDescent="0.25">
      <c r="A2" s="7" t="s">
        <v>1114</v>
      </c>
      <c r="B2" s="7"/>
      <c r="C2" s="7"/>
      <c r="D2" s="7"/>
      <c r="E2" s="7"/>
      <c r="F2" s="7"/>
      <c r="G2" s="7"/>
      <c r="H2" s="7"/>
      <c r="I2" s="7"/>
      <c r="J2" s="7"/>
      <c r="K2" s="7"/>
      <c r="L2" s="7"/>
      <c r="M2" s="7"/>
      <c r="N2" s="7"/>
      <c r="O2" s="7"/>
    </row>
    <row r="3" ht="30" customHeight="1" spans="1:15" x14ac:dyDescent="0.25">
      <c r="A3" s="8" t="s">
        <v>65</v>
      </c>
      <c r="B3" s="8" t="s">
        <v>66</v>
      </c>
      <c r="C3" s="8" t="s">
        <v>67</v>
      </c>
      <c r="D3" s="8" t="s">
        <v>68</v>
      </c>
      <c r="E3" s="8" t="s">
        <v>69</v>
      </c>
      <c r="F3" s="8" t="s">
        <v>70</v>
      </c>
      <c r="G3" s="8" t="s">
        <v>71</v>
      </c>
      <c r="H3" s="8" t="s">
        <v>72</v>
      </c>
      <c r="I3" s="8" t="s">
        <v>73</v>
      </c>
      <c r="J3" s="8" t="s">
        <v>74</v>
      </c>
      <c r="K3" s="8" t="s">
        <v>75</v>
      </c>
      <c r="L3" s="8" t="s">
        <v>76</v>
      </c>
      <c r="M3" s="8" t="s">
        <v>77</v>
      </c>
      <c r="N3" s="8" t="s">
        <v>78</v>
      </c>
      <c r="O3" s="8" t="s">
        <v>79</v>
      </c>
    </row>
    <row r="4" ht="46" customHeight="1" spans="1:15" x14ac:dyDescent="0.25">
      <c r="A4" s="9" t="s">
        <v>1557</v>
      </c>
      <c r="B4" s="10" t="s">
        <v>1558</v>
      </c>
      <c r="C4" s="10" t="s">
        <v>1559</v>
      </c>
      <c r="D4" s="10" t="s">
        <v>1560</v>
      </c>
      <c r="E4" s="11" t="s">
        <v>84</v>
      </c>
      <c r="F4" s="12" t="s">
        <v>85</v>
      </c>
      <c r="G4" s="10" t="s">
        <v>1561</v>
      </c>
      <c r="H4" s="10" t="s">
        <v>1562</v>
      </c>
      <c r="I4" s="10" t="s">
        <v>139</v>
      </c>
      <c r="J4" s="10" t="s">
        <v>1563</v>
      </c>
      <c r="K4" s="10" t="s">
        <v>16</v>
      </c>
      <c r="L4" s="13" t="s">
        <v>90</v>
      </c>
      <c r="M4" s="10" t="s">
        <v>16</v>
      </c>
      <c r="N4" s="14" t="s">
        <v>16</v>
      </c>
      <c r="O4" s="10" t="s">
        <v>16</v>
      </c>
    </row>
    <row r="5" ht="46" customHeight="1" spans="1:15" x14ac:dyDescent="0.25">
      <c r="A5" s="15" t="s">
        <v>1564</v>
      </c>
      <c r="B5" s="16" t="s">
        <v>1558</v>
      </c>
      <c r="C5" s="16" t="s">
        <v>1565</v>
      </c>
      <c r="D5" s="16" t="s">
        <v>1566</v>
      </c>
      <c r="E5" s="17" t="s">
        <v>93</v>
      </c>
      <c r="F5" s="18" t="s">
        <v>85</v>
      </c>
      <c r="G5" s="16" t="s">
        <v>209</v>
      </c>
      <c r="H5" s="16" t="s">
        <v>1567</v>
      </c>
      <c r="I5" s="16" t="s">
        <v>1568</v>
      </c>
      <c r="J5" s="16" t="s">
        <v>1569</v>
      </c>
      <c r="K5" s="16" t="s">
        <v>16</v>
      </c>
      <c r="L5" s="19" t="s">
        <v>90</v>
      </c>
      <c r="M5" s="16" t="s">
        <v>16</v>
      </c>
      <c r="N5" s="20" t="s">
        <v>16</v>
      </c>
      <c r="O5" s="16" t="s">
        <v>16</v>
      </c>
    </row>
    <row r="6" ht="46" customHeight="1" spans="1:15" x14ac:dyDescent="0.25">
      <c r="A6" s="9" t="s">
        <v>1570</v>
      </c>
      <c r="B6" s="10" t="s">
        <v>1558</v>
      </c>
      <c r="C6" s="10" t="s">
        <v>1565</v>
      </c>
      <c r="D6" s="10" t="s">
        <v>1571</v>
      </c>
      <c r="E6" s="11" t="s">
        <v>150</v>
      </c>
      <c r="F6" s="12" t="s">
        <v>85</v>
      </c>
      <c r="G6" s="10" t="s">
        <v>1572</v>
      </c>
      <c r="H6" s="10" t="s">
        <v>1573</v>
      </c>
      <c r="I6" s="10" t="s">
        <v>139</v>
      </c>
      <c r="J6" s="10" t="s">
        <v>1574</v>
      </c>
      <c r="K6" s="10" t="s">
        <v>16</v>
      </c>
      <c r="L6" s="13" t="s">
        <v>90</v>
      </c>
      <c r="M6" s="10" t="s">
        <v>16</v>
      </c>
      <c r="N6" s="14" t="s">
        <v>16</v>
      </c>
      <c r="O6" s="10" t="s">
        <v>16</v>
      </c>
    </row>
    <row r="7" ht="46" customHeight="1" spans="1:15" x14ac:dyDescent="0.25">
      <c r="A7" s="15" t="s">
        <v>1575</v>
      </c>
      <c r="B7" s="16" t="s">
        <v>1558</v>
      </c>
      <c r="C7" s="16" t="s">
        <v>1565</v>
      </c>
      <c r="D7" s="16" t="s">
        <v>1576</v>
      </c>
      <c r="E7" s="17" t="s">
        <v>150</v>
      </c>
      <c r="F7" s="19" t="s">
        <v>124</v>
      </c>
      <c r="G7" s="16" t="s">
        <v>209</v>
      </c>
      <c r="H7" s="16" t="s">
        <v>1577</v>
      </c>
      <c r="I7" s="16" t="s">
        <v>139</v>
      </c>
      <c r="J7" s="16" t="s">
        <v>1578</v>
      </c>
      <c r="K7" s="16" t="s">
        <v>16</v>
      </c>
      <c r="L7" s="19" t="s">
        <v>90</v>
      </c>
      <c r="M7" s="16" t="s">
        <v>16</v>
      </c>
      <c r="N7" s="20" t="s">
        <v>16</v>
      </c>
      <c r="O7" s="16" t="s">
        <v>16</v>
      </c>
    </row>
    <row r="8" ht="56" customHeight="1" spans="1:15" x14ac:dyDescent="0.25">
      <c r="A8" s="9" t="s">
        <v>1579</v>
      </c>
      <c r="B8" s="10" t="s">
        <v>1558</v>
      </c>
      <c r="C8" s="10" t="s">
        <v>1565</v>
      </c>
      <c r="D8" s="10" t="s">
        <v>1580</v>
      </c>
      <c r="E8" s="11" t="s">
        <v>84</v>
      </c>
      <c r="F8" s="12" t="s">
        <v>85</v>
      </c>
      <c r="G8" s="10" t="s">
        <v>1581</v>
      </c>
      <c r="H8" s="10" t="s">
        <v>1582</v>
      </c>
      <c r="I8" s="10" t="s">
        <v>139</v>
      </c>
      <c r="J8" s="10" t="s">
        <v>1583</v>
      </c>
      <c r="K8" s="10" t="s">
        <v>16</v>
      </c>
      <c r="L8" s="13" t="s">
        <v>90</v>
      </c>
      <c r="M8" s="10" t="s">
        <v>16</v>
      </c>
      <c r="N8" s="14" t="s">
        <v>16</v>
      </c>
      <c r="O8" s="10" t="s">
        <v>16</v>
      </c>
    </row>
    <row r="9" ht="46" customHeight="1" spans="1:15" x14ac:dyDescent="0.25">
      <c r="A9" s="15" t="s">
        <v>1584</v>
      </c>
      <c r="B9" s="16" t="s">
        <v>1558</v>
      </c>
      <c r="C9" s="16" t="s">
        <v>1565</v>
      </c>
      <c r="D9" s="16" t="s">
        <v>1585</v>
      </c>
      <c r="E9" s="17" t="s">
        <v>93</v>
      </c>
      <c r="F9" s="19" t="s">
        <v>124</v>
      </c>
      <c r="G9" s="16" t="s">
        <v>1586</v>
      </c>
      <c r="H9" s="16" t="s">
        <v>1587</v>
      </c>
      <c r="I9" s="16" t="s">
        <v>139</v>
      </c>
      <c r="J9" s="16" t="s">
        <v>1588</v>
      </c>
      <c r="K9" s="16" t="s">
        <v>16</v>
      </c>
      <c r="L9" s="19" t="s">
        <v>90</v>
      </c>
      <c r="M9" s="16" t="s">
        <v>16</v>
      </c>
      <c r="N9" s="20" t="s">
        <v>16</v>
      </c>
      <c r="O9" s="16" t="s">
        <v>16</v>
      </c>
    </row>
    <row r="10" ht="46" customHeight="1" spans="1:15" x14ac:dyDescent="0.25">
      <c r="A10" s="9" t="s">
        <v>1589</v>
      </c>
      <c r="B10" s="10" t="s">
        <v>1558</v>
      </c>
      <c r="C10" s="10" t="s">
        <v>1565</v>
      </c>
      <c r="D10" s="10" t="s">
        <v>1590</v>
      </c>
      <c r="E10" s="11" t="s">
        <v>311</v>
      </c>
      <c r="F10" s="12" t="s">
        <v>85</v>
      </c>
      <c r="G10" s="10" t="s">
        <v>209</v>
      </c>
      <c r="H10" s="10" t="s">
        <v>1591</v>
      </c>
      <c r="I10" s="10" t="s">
        <v>139</v>
      </c>
      <c r="J10" s="10" t="s">
        <v>1592</v>
      </c>
      <c r="K10" s="10" t="s">
        <v>16</v>
      </c>
      <c r="L10" s="13" t="s">
        <v>90</v>
      </c>
      <c r="M10" s="10" t="s">
        <v>16</v>
      </c>
      <c r="N10" s="14" t="s">
        <v>16</v>
      </c>
      <c r="O10" s="10" t="s">
        <v>16</v>
      </c>
    </row>
    <row r="11" ht="46" customHeight="1" spans="1:15" x14ac:dyDescent="0.25">
      <c r="A11" s="15" t="s">
        <v>1593</v>
      </c>
      <c r="B11" s="16" t="s">
        <v>1558</v>
      </c>
      <c r="C11" s="16" t="s">
        <v>1565</v>
      </c>
      <c r="D11" s="16" t="s">
        <v>1594</v>
      </c>
      <c r="E11" s="17" t="s">
        <v>311</v>
      </c>
      <c r="F11" s="18" t="s">
        <v>85</v>
      </c>
      <c r="G11" s="16" t="s">
        <v>1595</v>
      </c>
      <c r="H11" s="16" t="s">
        <v>1596</v>
      </c>
      <c r="I11" s="16" t="s">
        <v>139</v>
      </c>
      <c r="J11" s="16" t="s">
        <v>1597</v>
      </c>
      <c r="K11" s="16" t="s">
        <v>16</v>
      </c>
      <c r="L11" s="19" t="s">
        <v>90</v>
      </c>
      <c r="M11" s="16" t="s">
        <v>16</v>
      </c>
      <c r="N11" s="20" t="s">
        <v>16</v>
      </c>
      <c r="O11" s="16" t="s">
        <v>16</v>
      </c>
    </row>
    <row r="12" ht="46" customHeight="1" spans="1:15" x14ac:dyDescent="0.25">
      <c r="A12" s="9" t="s">
        <v>1598</v>
      </c>
      <c r="B12" s="10" t="s">
        <v>1558</v>
      </c>
      <c r="C12" s="10" t="s">
        <v>1565</v>
      </c>
      <c r="D12" s="10" t="s">
        <v>1599</v>
      </c>
      <c r="E12" s="11" t="s">
        <v>311</v>
      </c>
      <c r="F12" s="12" t="s">
        <v>85</v>
      </c>
      <c r="G12" s="10" t="s">
        <v>1595</v>
      </c>
      <c r="H12" s="10" t="s">
        <v>1600</v>
      </c>
      <c r="I12" s="10" t="s">
        <v>139</v>
      </c>
      <c r="J12" s="10" t="s">
        <v>1601</v>
      </c>
      <c r="K12" s="10" t="s">
        <v>16</v>
      </c>
      <c r="L12" s="13" t="s">
        <v>90</v>
      </c>
      <c r="M12" s="10" t="s">
        <v>16</v>
      </c>
      <c r="N12" s="14" t="s">
        <v>16</v>
      </c>
      <c r="O12" s="10" t="s">
        <v>16</v>
      </c>
    </row>
    <row r="13" ht="46" customHeight="1" spans="1:15" x14ac:dyDescent="0.25">
      <c r="A13" s="15" t="s">
        <v>1602</v>
      </c>
      <c r="B13" s="16" t="s">
        <v>1558</v>
      </c>
      <c r="C13" s="16" t="s">
        <v>1565</v>
      </c>
      <c r="D13" s="16" t="s">
        <v>1603</v>
      </c>
      <c r="E13" s="17" t="s">
        <v>84</v>
      </c>
      <c r="F13" s="18" t="s">
        <v>85</v>
      </c>
      <c r="G13" s="16" t="s">
        <v>1581</v>
      </c>
      <c r="H13" s="16" t="s">
        <v>1604</v>
      </c>
      <c r="I13" s="16" t="s">
        <v>139</v>
      </c>
      <c r="J13" s="16" t="s">
        <v>1605</v>
      </c>
      <c r="K13" s="16" t="s">
        <v>16</v>
      </c>
      <c r="L13" s="19" t="s">
        <v>90</v>
      </c>
      <c r="M13" s="16" t="s">
        <v>16</v>
      </c>
      <c r="N13" s="20" t="s">
        <v>16</v>
      </c>
      <c r="O13" s="16" t="s">
        <v>16</v>
      </c>
    </row>
    <row r="14" ht="46" customHeight="1" spans="1:15" x14ac:dyDescent="0.25">
      <c r="A14" s="9" t="s">
        <v>1606</v>
      </c>
      <c r="B14" s="10" t="s">
        <v>1558</v>
      </c>
      <c r="C14" s="10" t="s">
        <v>1565</v>
      </c>
      <c r="D14" s="10" t="s">
        <v>1607</v>
      </c>
      <c r="E14" s="11" t="s">
        <v>84</v>
      </c>
      <c r="F14" s="13" t="s">
        <v>124</v>
      </c>
      <c r="G14" s="10" t="s">
        <v>137</v>
      </c>
      <c r="H14" s="10" t="s">
        <v>1608</v>
      </c>
      <c r="I14" s="10" t="s">
        <v>139</v>
      </c>
      <c r="J14" s="10" t="s">
        <v>1609</v>
      </c>
      <c r="K14" s="10" t="s">
        <v>16</v>
      </c>
      <c r="L14" s="13" t="s">
        <v>90</v>
      </c>
      <c r="M14" s="10" t="s">
        <v>16</v>
      </c>
      <c r="N14" s="14" t="s">
        <v>16</v>
      </c>
      <c r="O14" s="10" t="s">
        <v>16</v>
      </c>
    </row>
    <row r="15" ht="46" customHeight="1" spans="1:15" x14ac:dyDescent="0.25">
      <c r="A15" s="15" t="s">
        <v>1610</v>
      </c>
      <c r="B15" s="16" t="s">
        <v>1558</v>
      </c>
      <c r="C15" s="16" t="s">
        <v>1611</v>
      </c>
      <c r="D15" s="16" t="s">
        <v>1612</v>
      </c>
      <c r="E15" s="17" t="s">
        <v>93</v>
      </c>
      <c r="F15" s="18" t="s">
        <v>85</v>
      </c>
      <c r="G15" s="16" t="s">
        <v>209</v>
      </c>
      <c r="H15" s="16" t="s">
        <v>1613</v>
      </c>
      <c r="I15" s="16" t="s">
        <v>1614</v>
      </c>
      <c r="J15" s="16" t="s">
        <v>1615</v>
      </c>
      <c r="K15" s="16" t="s">
        <v>16</v>
      </c>
      <c r="L15" s="19" t="s">
        <v>90</v>
      </c>
      <c r="M15" s="16" t="s">
        <v>16</v>
      </c>
      <c r="N15" s="20" t="s">
        <v>16</v>
      </c>
      <c r="O15" s="16" t="s">
        <v>16</v>
      </c>
    </row>
    <row r="16" ht="46" customHeight="1" spans="1:15" x14ac:dyDescent="0.25">
      <c r="A16" s="9" t="s">
        <v>1616</v>
      </c>
      <c r="B16" s="10" t="s">
        <v>1558</v>
      </c>
      <c r="C16" s="10" t="s">
        <v>1611</v>
      </c>
      <c r="D16" s="10" t="s">
        <v>1617</v>
      </c>
      <c r="E16" s="11" t="s">
        <v>84</v>
      </c>
      <c r="F16" s="12" t="s">
        <v>85</v>
      </c>
      <c r="G16" s="10" t="s">
        <v>209</v>
      </c>
      <c r="H16" s="10" t="s">
        <v>1618</v>
      </c>
      <c r="I16" s="10" t="s">
        <v>139</v>
      </c>
      <c r="J16" s="10" t="s">
        <v>1619</v>
      </c>
      <c r="K16" s="10" t="s">
        <v>16</v>
      </c>
      <c r="L16" s="13" t="s">
        <v>90</v>
      </c>
      <c r="M16" s="10" t="s">
        <v>16</v>
      </c>
      <c r="N16" s="14" t="s">
        <v>16</v>
      </c>
      <c r="O16" s="10" t="s">
        <v>16</v>
      </c>
    </row>
    <row r="17" ht="46" customHeight="1" spans="1:15" x14ac:dyDescent="0.25">
      <c r="A17" s="15" t="s">
        <v>1620</v>
      </c>
      <c r="B17" s="16" t="s">
        <v>1558</v>
      </c>
      <c r="C17" s="16" t="s">
        <v>1611</v>
      </c>
      <c r="D17" s="16" t="s">
        <v>1621</v>
      </c>
      <c r="E17" s="17" t="s">
        <v>311</v>
      </c>
      <c r="F17" s="18" t="s">
        <v>85</v>
      </c>
      <c r="G17" s="16" t="s">
        <v>209</v>
      </c>
      <c r="H17" s="16" t="s">
        <v>1622</v>
      </c>
      <c r="I17" s="16" t="s">
        <v>139</v>
      </c>
      <c r="J17" s="16" t="s">
        <v>1623</v>
      </c>
      <c r="K17" s="16" t="s">
        <v>16</v>
      </c>
      <c r="L17" s="19" t="s">
        <v>90</v>
      </c>
      <c r="M17" s="16" t="s">
        <v>16</v>
      </c>
      <c r="N17" s="20" t="s">
        <v>16</v>
      </c>
      <c r="O17" s="16" t="s">
        <v>16</v>
      </c>
    </row>
    <row r="18" ht="46" customHeight="1" spans="1:15" x14ac:dyDescent="0.25">
      <c r="A18" s="9" t="s">
        <v>1624</v>
      </c>
      <c r="B18" s="10" t="s">
        <v>1558</v>
      </c>
      <c r="C18" s="10" t="s">
        <v>1611</v>
      </c>
      <c r="D18" s="10" t="s">
        <v>1625</v>
      </c>
      <c r="E18" s="11" t="s">
        <v>311</v>
      </c>
      <c r="F18" s="12" t="s">
        <v>85</v>
      </c>
      <c r="G18" s="10" t="s">
        <v>1626</v>
      </c>
      <c r="H18" s="10" t="s">
        <v>1627</v>
      </c>
      <c r="I18" s="10" t="s">
        <v>139</v>
      </c>
      <c r="J18" s="10" t="s">
        <v>1628</v>
      </c>
      <c r="K18" s="10" t="s">
        <v>16</v>
      </c>
      <c r="L18" s="13" t="s">
        <v>90</v>
      </c>
      <c r="M18" s="10" t="s">
        <v>16</v>
      </c>
      <c r="N18" s="14" t="s">
        <v>16</v>
      </c>
      <c r="O18" s="10" t="s">
        <v>16</v>
      </c>
    </row>
    <row r="19" ht="46" customHeight="1" spans="1:15" x14ac:dyDescent="0.25">
      <c r="A19" s="15" t="s">
        <v>1629</v>
      </c>
      <c r="B19" s="16" t="s">
        <v>1558</v>
      </c>
      <c r="C19" s="16" t="s">
        <v>1611</v>
      </c>
      <c r="D19" s="16" t="s">
        <v>1630</v>
      </c>
      <c r="E19" s="17" t="s">
        <v>311</v>
      </c>
      <c r="F19" s="18" t="s">
        <v>85</v>
      </c>
      <c r="G19" s="16" t="s">
        <v>1631</v>
      </c>
      <c r="H19" s="16" t="s">
        <v>1632</v>
      </c>
      <c r="I19" s="16" t="s">
        <v>139</v>
      </c>
      <c r="J19" s="16" t="s">
        <v>1633</v>
      </c>
      <c r="K19" s="16" t="s">
        <v>16</v>
      </c>
      <c r="L19" s="19" t="s">
        <v>90</v>
      </c>
      <c r="M19" s="16" t="s">
        <v>16</v>
      </c>
      <c r="N19" s="20" t="s">
        <v>16</v>
      </c>
      <c r="O19" s="16" t="s">
        <v>16</v>
      </c>
    </row>
    <row r="20" ht="46" customHeight="1" spans="1:15" x14ac:dyDescent="0.25">
      <c r="A20" s="9" t="s">
        <v>1634</v>
      </c>
      <c r="B20" s="10" t="s">
        <v>1558</v>
      </c>
      <c r="C20" s="10" t="s">
        <v>1611</v>
      </c>
      <c r="D20" s="10" t="s">
        <v>1635</v>
      </c>
      <c r="E20" s="11" t="s">
        <v>84</v>
      </c>
      <c r="F20" s="13" t="s">
        <v>124</v>
      </c>
      <c r="G20" s="10" t="s">
        <v>836</v>
      </c>
      <c r="H20" s="10" t="s">
        <v>1636</v>
      </c>
      <c r="I20" s="10" t="s">
        <v>1637</v>
      </c>
      <c r="J20" s="10" t="s">
        <v>1638</v>
      </c>
      <c r="K20" s="10" t="s">
        <v>16</v>
      </c>
      <c r="L20" s="13" t="s">
        <v>90</v>
      </c>
      <c r="M20" s="10" t="s">
        <v>16</v>
      </c>
      <c r="N20" s="14" t="s">
        <v>16</v>
      </c>
      <c r="O20" s="10" t="s">
        <v>16</v>
      </c>
    </row>
    <row r="21" ht="46" customHeight="1" spans="1:15" x14ac:dyDescent="0.25">
      <c r="A21" s="15" t="s">
        <v>1639</v>
      </c>
      <c r="B21" s="16" t="s">
        <v>1558</v>
      </c>
      <c r="C21" s="16" t="s">
        <v>1611</v>
      </c>
      <c r="D21" s="16" t="s">
        <v>1640</v>
      </c>
      <c r="E21" s="17" t="s">
        <v>84</v>
      </c>
      <c r="F21" s="19" t="s">
        <v>124</v>
      </c>
      <c r="G21" s="16" t="s">
        <v>137</v>
      </c>
      <c r="H21" s="16" t="s">
        <v>1641</v>
      </c>
      <c r="I21" s="16" t="s">
        <v>139</v>
      </c>
      <c r="J21" s="16" t="s">
        <v>1642</v>
      </c>
      <c r="K21" s="16" t="s">
        <v>16</v>
      </c>
      <c r="L21" s="19" t="s">
        <v>90</v>
      </c>
      <c r="M21" s="16" t="s">
        <v>16</v>
      </c>
      <c r="N21" s="20" t="s">
        <v>16</v>
      </c>
      <c r="O21" s="16" t="s">
        <v>16</v>
      </c>
    </row>
    <row r="22" ht="56" customHeight="1" spans="1:15" x14ac:dyDescent="0.25">
      <c r="A22" s="9" t="s">
        <v>1643</v>
      </c>
      <c r="B22" s="10" t="s">
        <v>1558</v>
      </c>
      <c r="C22" s="10" t="s">
        <v>1644</v>
      </c>
      <c r="D22" s="10" t="s">
        <v>1645</v>
      </c>
      <c r="E22" s="11" t="s">
        <v>84</v>
      </c>
      <c r="F22" s="12" t="s">
        <v>85</v>
      </c>
      <c r="G22" s="10" t="s">
        <v>1646</v>
      </c>
      <c r="H22" s="10" t="s">
        <v>1647</v>
      </c>
      <c r="I22" s="10" t="s">
        <v>139</v>
      </c>
      <c r="J22" s="10" t="s">
        <v>1648</v>
      </c>
      <c r="K22" s="10" t="s">
        <v>16</v>
      </c>
      <c r="L22" s="13" t="s">
        <v>90</v>
      </c>
      <c r="M22" s="10" t="s">
        <v>16</v>
      </c>
      <c r="N22" s="14" t="s">
        <v>16</v>
      </c>
      <c r="O22" s="10" t="s">
        <v>16</v>
      </c>
    </row>
  </sheetData>
  <autoFilter ref="A3:O22"/>
  <mergeCells count="2">
    <mergeCell ref="A1:O1"/>
    <mergeCell ref="A2:O2"/>
  </mergeCells>
  <conditionalFormatting sqref="L4:L22">
    <cfRule type="containsText" dxfId="36" priority="1">
      <formula>NOT(ISERROR(SEARCH("Pass",L4)))</formula>
    </cfRule>
    <cfRule type="containsText" dxfId="37" priority="2">
      <formula>NOT(ISERROR(SEARCH("Fail",L4)))</formula>
    </cfRule>
    <cfRule type="containsText" dxfId="38" priority="3">
      <formula>NOT(ISERROR(SEARCH("Blocked",L4)))</formula>
    </cfRule>
  </conditionalFormatting>
  <dataValidations count="2">
    <dataValidation type="list" showErrorMessage="1" errorTitle="Invalid status" error="Choose: Not Executed, Pass, Fail, Blocked or N/A" sqref="L10:L22">
      <formula1>"Not Executed,Pass,Fail,Blocked,N/A"</formula1>
    </dataValidation>
    <dataValidation type="list" showErrorMessage="1" errorTitle="Invalid status" error="Choose: Not Executed, Pass, Fail, Blocked or N/A" sqref="L4:L22">
      <formula1>"Not Executed,Pass,Fail,Blocked,N/A"</formula1>
    </dataValidation>
  </dataValidation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
  <sheetViews>
    <sheetView workbookViewId="0" zoomScale="90">
      <pane xSplit="1" ySplit="3" topLeftCell="B4" activePane="bottomRight" state="frozen"/>
      <selection pane="bottomRight"/>
    </sheetView>
  </sheetViews>
  <sheetFormatPr defaultRowHeight="15" outlineLevelRow="0" outlineLevelCol="0" x14ac:dyDescent="55"/>
  <cols>
    <col min="1" max="1" width="12" customWidth="1"/>
    <col min="2" max="2" width="20" customWidth="1"/>
    <col min="3" max="3" width="22" customWidth="1"/>
    <col min="4" max="4" width="46" customWidth="1"/>
    <col min="5" max="5" width="14" customWidth="1"/>
    <col min="6" max="6" width="10" customWidth="1"/>
    <col min="7" max="7" width="38" customWidth="1"/>
    <col min="8" max="8" width="50" customWidth="1"/>
    <col min="9" max="9" width="26" customWidth="1"/>
    <col min="10" max="10" width="66" customWidth="1"/>
    <col min="11" max="11" width="30" customWidth="1"/>
    <col min="12" max="14" width="14" customWidth="1"/>
    <col min="15" max="15" width="26" customWidth="1"/>
  </cols>
  <sheetData>
    <row r="1" ht="28" customHeight="1" spans="1:15" x14ac:dyDescent="0.25">
      <c r="A1" s="6" t="s">
        <v>1649</v>
      </c>
      <c r="B1" s="6"/>
      <c r="C1" s="6"/>
      <c r="D1" s="6"/>
      <c r="E1" s="6"/>
      <c r="F1" s="6"/>
      <c r="G1" s="6"/>
      <c r="H1" s="6"/>
      <c r="I1" s="6"/>
      <c r="J1" s="6"/>
      <c r="K1" s="6"/>
      <c r="L1" s="6"/>
      <c r="M1" s="6"/>
      <c r="N1" s="6"/>
      <c r="O1" s="6"/>
    </row>
    <row r="2" ht="20" customHeight="1" spans="1:15" x14ac:dyDescent="0.25">
      <c r="A2" s="7" t="s">
        <v>1650</v>
      </c>
      <c r="B2" s="7"/>
      <c r="C2" s="7"/>
      <c r="D2" s="7"/>
      <c r="E2" s="7"/>
      <c r="F2" s="7"/>
      <c r="G2" s="7"/>
      <c r="H2" s="7"/>
      <c r="I2" s="7"/>
      <c r="J2" s="7"/>
      <c r="K2" s="7"/>
      <c r="L2" s="7"/>
      <c r="M2" s="7"/>
      <c r="N2" s="7"/>
      <c r="O2" s="7"/>
    </row>
    <row r="3" ht="30" customHeight="1" spans="1:15" x14ac:dyDescent="0.25">
      <c r="A3" s="8" t="s">
        <v>65</v>
      </c>
      <c r="B3" s="8" t="s">
        <v>66</v>
      </c>
      <c r="C3" s="8" t="s">
        <v>67</v>
      </c>
      <c r="D3" s="8" t="s">
        <v>68</v>
      </c>
      <c r="E3" s="8" t="s">
        <v>69</v>
      </c>
      <c r="F3" s="8" t="s">
        <v>70</v>
      </c>
      <c r="G3" s="8" t="s">
        <v>71</v>
      </c>
      <c r="H3" s="8" t="s">
        <v>72</v>
      </c>
      <c r="I3" s="8" t="s">
        <v>73</v>
      </c>
      <c r="J3" s="8" t="s">
        <v>74</v>
      </c>
      <c r="K3" s="8" t="s">
        <v>75</v>
      </c>
      <c r="L3" s="8" t="s">
        <v>76</v>
      </c>
      <c r="M3" s="8" t="s">
        <v>77</v>
      </c>
      <c r="N3" s="8" t="s">
        <v>78</v>
      </c>
      <c r="O3" s="8" t="s">
        <v>79</v>
      </c>
    </row>
    <row r="4" ht="46" customHeight="1" spans="1:15" x14ac:dyDescent="0.25">
      <c r="A4" s="9" t="s">
        <v>1651</v>
      </c>
      <c r="B4" s="10" t="s">
        <v>1652</v>
      </c>
      <c r="C4" s="10" t="s">
        <v>1653</v>
      </c>
      <c r="D4" s="10" t="s">
        <v>1654</v>
      </c>
      <c r="E4" s="11" t="s">
        <v>93</v>
      </c>
      <c r="F4" s="12" t="s">
        <v>85</v>
      </c>
      <c r="G4" s="10" t="s">
        <v>1655</v>
      </c>
      <c r="H4" s="10" t="s">
        <v>1656</v>
      </c>
      <c r="I4" s="10" t="s">
        <v>1657</v>
      </c>
      <c r="J4" s="10" t="s">
        <v>1658</v>
      </c>
      <c r="K4" s="10" t="s">
        <v>16</v>
      </c>
      <c r="L4" s="13" t="s">
        <v>90</v>
      </c>
      <c r="M4" s="10" t="s">
        <v>16</v>
      </c>
      <c r="N4" s="14" t="s">
        <v>16</v>
      </c>
      <c r="O4" s="10" t="s">
        <v>16</v>
      </c>
    </row>
    <row r="5" ht="46" customHeight="1" spans="1:15" x14ac:dyDescent="0.25">
      <c r="A5" s="15" t="s">
        <v>1659</v>
      </c>
      <c r="B5" s="16" t="s">
        <v>1652</v>
      </c>
      <c r="C5" s="16" t="s">
        <v>1660</v>
      </c>
      <c r="D5" s="16" t="s">
        <v>1661</v>
      </c>
      <c r="E5" s="17" t="s">
        <v>93</v>
      </c>
      <c r="F5" s="18" t="s">
        <v>85</v>
      </c>
      <c r="G5" s="16" t="s">
        <v>1662</v>
      </c>
      <c r="H5" s="16" t="s">
        <v>1663</v>
      </c>
      <c r="I5" s="16" t="s">
        <v>627</v>
      </c>
      <c r="J5" s="16" t="s">
        <v>1664</v>
      </c>
      <c r="K5" s="16" t="s">
        <v>16</v>
      </c>
      <c r="L5" s="19" t="s">
        <v>90</v>
      </c>
      <c r="M5" s="16" t="s">
        <v>16</v>
      </c>
      <c r="N5" s="20" t="s">
        <v>16</v>
      </c>
      <c r="O5" s="16" t="s">
        <v>16</v>
      </c>
    </row>
    <row r="6" ht="56" customHeight="1" spans="1:15" x14ac:dyDescent="0.25">
      <c r="A6" s="9" t="s">
        <v>1665</v>
      </c>
      <c r="B6" s="10" t="s">
        <v>1652</v>
      </c>
      <c r="C6" s="10" t="s">
        <v>1660</v>
      </c>
      <c r="D6" s="10" t="s">
        <v>1666</v>
      </c>
      <c r="E6" s="11" t="s">
        <v>84</v>
      </c>
      <c r="F6" s="12" t="s">
        <v>85</v>
      </c>
      <c r="G6" s="10" t="s">
        <v>1667</v>
      </c>
      <c r="H6" s="10" t="s">
        <v>1668</v>
      </c>
      <c r="I6" s="10" t="s">
        <v>1669</v>
      </c>
      <c r="J6" s="10" t="s">
        <v>1670</v>
      </c>
      <c r="K6" s="10" t="s">
        <v>16</v>
      </c>
      <c r="L6" s="13" t="s">
        <v>90</v>
      </c>
      <c r="M6" s="10" t="s">
        <v>16</v>
      </c>
      <c r="N6" s="14" t="s">
        <v>16</v>
      </c>
      <c r="O6" s="10" t="s">
        <v>16</v>
      </c>
    </row>
    <row r="7" ht="46" customHeight="1" spans="1:15" x14ac:dyDescent="0.25">
      <c r="A7" s="15" t="s">
        <v>1671</v>
      </c>
      <c r="B7" s="16" t="s">
        <v>1652</v>
      </c>
      <c r="C7" s="16" t="s">
        <v>1660</v>
      </c>
      <c r="D7" s="16" t="s">
        <v>1672</v>
      </c>
      <c r="E7" s="17" t="s">
        <v>93</v>
      </c>
      <c r="F7" s="19" t="s">
        <v>124</v>
      </c>
      <c r="G7" s="16" t="s">
        <v>1673</v>
      </c>
      <c r="H7" s="16" t="s">
        <v>1674</v>
      </c>
      <c r="I7" s="16" t="s">
        <v>139</v>
      </c>
      <c r="J7" s="16" t="s">
        <v>1675</v>
      </c>
      <c r="K7" s="16" t="s">
        <v>16</v>
      </c>
      <c r="L7" s="19" t="s">
        <v>90</v>
      </c>
      <c r="M7" s="16" t="s">
        <v>16</v>
      </c>
      <c r="N7" s="20" t="s">
        <v>16</v>
      </c>
      <c r="O7" s="16" t="s">
        <v>16</v>
      </c>
    </row>
    <row r="8" ht="46" customHeight="1" spans="1:15" x14ac:dyDescent="0.25">
      <c r="A8" s="9" t="s">
        <v>1676</v>
      </c>
      <c r="B8" s="10" t="s">
        <v>1652</v>
      </c>
      <c r="C8" s="10" t="s">
        <v>567</v>
      </c>
      <c r="D8" s="10" t="s">
        <v>1677</v>
      </c>
      <c r="E8" s="11" t="s">
        <v>150</v>
      </c>
      <c r="F8" s="13" t="s">
        <v>124</v>
      </c>
      <c r="G8" s="10" t="s">
        <v>1678</v>
      </c>
      <c r="H8" s="10" t="s">
        <v>1679</v>
      </c>
      <c r="I8" s="10" t="s">
        <v>1680</v>
      </c>
      <c r="J8" s="10" t="s">
        <v>1681</v>
      </c>
      <c r="K8" s="10" t="s">
        <v>16</v>
      </c>
      <c r="L8" s="13" t="s">
        <v>90</v>
      </c>
      <c r="M8" s="10" t="s">
        <v>16</v>
      </c>
      <c r="N8" s="14" t="s">
        <v>16</v>
      </c>
      <c r="O8" s="10" t="s">
        <v>16</v>
      </c>
    </row>
    <row r="9" ht="46" customHeight="1" spans="1:15" x14ac:dyDescent="0.25">
      <c r="A9" s="15" t="s">
        <v>1682</v>
      </c>
      <c r="B9" s="16" t="s">
        <v>1652</v>
      </c>
      <c r="C9" s="16" t="s">
        <v>1683</v>
      </c>
      <c r="D9" s="16" t="s">
        <v>1684</v>
      </c>
      <c r="E9" s="17" t="s">
        <v>93</v>
      </c>
      <c r="F9" s="18" t="s">
        <v>85</v>
      </c>
      <c r="G9" s="16" t="s">
        <v>1685</v>
      </c>
      <c r="H9" s="16" t="s">
        <v>1686</v>
      </c>
      <c r="I9" s="16" t="s">
        <v>1687</v>
      </c>
      <c r="J9" s="16" t="s">
        <v>1688</v>
      </c>
      <c r="K9" s="16" t="s">
        <v>16</v>
      </c>
      <c r="L9" s="19" t="s">
        <v>90</v>
      </c>
      <c r="M9" s="16" t="s">
        <v>16</v>
      </c>
      <c r="N9" s="20" t="s">
        <v>16</v>
      </c>
      <c r="O9" s="16" t="s">
        <v>16</v>
      </c>
    </row>
    <row r="10" ht="46" customHeight="1" spans="1:15" x14ac:dyDescent="0.25">
      <c r="A10" s="9" t="s">
        <v>1689</v>
      </c>
      <c r="B10" s="10" t="s">
        <v>1652</v>
      </c>
      <c r="C10" s="10" t="s">
        <v>1683</v>
      </c>
      <c r="D10" s="10" t="s">
        <v>1690</v>
      </c>
      <c r="E10" s="11" t="s">
        <v>93</v>
      </c>
      <c r="F10" s="13" t="s">
        <v>124</v>
      </c>
      <c r="G10" s="10" t="s">
        <v>1678</v>
      </c>
      <c r="H10" s="10" t="s">
        <v>1691</v>
      </c>
      <c r="I10" s="10" t="s">
        <v>1692</v>
      </c>
      <c r="J10" s="10" t="s">
        <v>1693</v>
      </c>
      <c r="K10" s="10" t="s">
        <v>16</v>
      </c>
      <c r="L10" s="13" t="s">
        <v>90</v>
      </c>
      <c r="M10" s="10" t="s">
        <v>16</v>
      </c>
      <c r="N10" s="14" t="s">
        <v>16</v>
      </c>
      <c r="O10" s="10" t="s">
        <v>16</v>
      </c>
    </row>
    <row r="11" ht="46" customHeight="1" spans="1:15" x14ac:dyDescent="0.25">
      <c r="A11" s="15" t="s">
        <v>1694</v>
      </c>
      <c r="B11" s="16" t="s">
        <v>1652</v>
      </c>
      <c r="C11" s="16" t="s">
        <v>1695</v>
      </c>
      <c r="D11" s="16" t="s">
        <v>1696</v>
      </c>
      <c r="E11" s="17" t="s">
        <v>93</v>
      </c>
      <c r="F11" s="18" t="s">
        <v>85</v>
      </c>
      <c r="G11" s="16" t="s">
        <v>1697</v>
      </c>
      <c r="H11" s="16" t="s">
        <v>1698</v>
      </c>
      <c r="I11" s="16" t="s">
        <v>1699</v>
      </c>
      <c r="J11" s="16" t="s">
        <v>1700</v>
      </c>
      <c r="K11" s="16" t="s">
        <v>16</v>
      </c>
      <c r="L11" s="19" t="s">
        <v>90</v>
      </c>
      <c r="M11" s="16" t="s">
        <v>16</v>
      </c>
      <c r="N11" s="20" t="s">
        <v>16</v>
      </c>
      <c r="O11" s="16" t="s">
        <v>16</v>
      </c>
    </row>
    <row r="12" ht="46" customHeight="1" spans="1:15" x14ac:dyDescent="0.25">
      <c r="A12" s="9" t="s">
        <v>1701</v>
      </c>
      <c r="B12" s="10" t="s">
        <v>1652</v>
      </c>
      <c r="C12" s="10" t="s">
        <v>1702</v>
      </c>
      <c r="D12" s="10" t="s">
        <v>1703</v>
      </c>
      <c r="E12" s="11" t="s">
        <v>93</v>
      </c>
      <c r="F12" s="12" t="s">
        <v>85</v>
      </c>
      <c r="G12" s="10" t="s">
        <v>1704</v>
      </c>
      <c r="H12" s="10" t="s">
        <v>1705</v>
      </c>
      <c r="I12" s="10" t="s">
        <v>139</v>
      </c>
      <c r="J12" s="10" t="s">
        <v>1706</v>
      </c>
      <c r="K12" s="10" t="s">
        <v>16</v>
      </c>
      <c r="L12" s="13" t="s">
        <v>90</v>
      </c>
      <c r="M12" s="10" t="s">
        <v>16</v>
      </c>
      <c r="N12" s="14" t="s">
        <v>16</v>
      </c>
      <c r="O12" s="10" t="s">
        <v>16</v>
      </c>
    </row>
    <row r="13" ht="46" customHeight="1" spans="1:15" x14ac:dyDescent="0.25">
      <c r="A13" s="15" t="s">
        <v>1707</v>
      </c>
      <c r="B13" s="16" t="s">
        <v>1652</v>
      </c>
      <c r="C13" s="16" t="s">
        <v>1702</v>
      </c>
      <c r="D13" s="16" t="s">
        <v>1708</v>
      </c>
      <c r="E13" s="17" t="s">
        <v>93</v>
      </c>
      <c r="F13" s="19" t="s">
        <v>329</v>
      </c>
      <c r="G13" s="16" t="s">
        <v>1709</v>
      </c>
      <c r="H13" s="16" t="s">
        <v>1710</v>
      </c>
      <c r="I13" s="16" t="s">
        <v>139</v>
      </c>
      <c r="J13" s="16" t="s">
        <v>1711</v>
      </c>
      <c r="K13" s="16" t="s">
        <v>16</v>
      </c>
      <c r="L13" s="19" t="s">
        <v>90</v>
      </c>
      <c r="M13" s="16" t="s">
        <v>16</v>
      </c>
      <c r="N13" s="20" t="s">
        <v>16</v>
      </c>
      <c r="O13" s="16" t="s">
        <v>16</v>
      </c>
    </row>
    <row r="14" ht="46" customHeight="1" spans="1:15" x14ac:dyDescent="0.25">
      <c r="A14" s="9" t="s">
        <v>1712</v>
      </c>
      <c r="B14" s="10" t="s">
        <v>1652</v>
      </c>
      <c r="C14" s="10" t="s">
        <v>1713</v>
      </c>
      <c r="D14" s="10" t="s">
        <v>1714</v>
      </c>
      <c r="E14" s="11" t="s">
        <v>93</v>
      </c>
      <c r="F14" s="12" t="s">
        <v>85</v>
      </c>
      <c r="G14" s="10" t="s">
        <v>1715</v>
      </c>
      <c r="H14" s="10" t="s">
        <v>1716</v>
      </c>
      <c r="I14" s="10" t="s">
        <v>1717</v>
      </c>
      <c r="J14" s="10" t="s">
        <v>1718</v>
      </c>
      <c r="K14" s="10" t="s">
        <v>16</v>
      </c>
      <c r="L14" s="13" t="s">
        <v>90</v>
      </c>
      <c r="M14" s="10" t="s">
        <v>16</v>
      </c>
      <c r="N14" s="14" t="s">
        <v>16</v>
      </c>
      <c r="O14" s="10" t="s">
        <v>16</v>
      </c>
    </row>
    <row r="15" ht="46" customHeight="1" spans="1:15" x14ac:dyDescent="0.25">
      <c r="A15" s="15" t="s">
        <v>1719</v>
      </c>
      <c r="B15" s="16" t="s">
        <v>1652</v>
      </c>
      <c r="C15" s="16" t="s">
        <v>804</v>
      </c>
      <c r="D15" s="16" t="s">
        <v>1720</v>
      </c>
      <c r="E15" s="17" t="s">
        <v>93</v>
      </c>
      <c r="F15" s="18" t="s">
        <v>85</v>
      </c>
      <c r="G15" s="16" t="s">
        <v>1721</v>
      </c>
      <c r="H15" s="16" t="s">
        <v>1722</v>
      </c>
      <c r="I15" s="16" t="s">
        <v>139</v>
      </c>
      <c r="J15" s="16" t="s">
        <v>1723</v>
      </c>
      <c r="K15" s="16" t="s">
        <v>16</v>
      </c>
      <c r="L15" s="19" t="s">
        <v>90</v>
      </c>
      <c r="M15" s="16" t="s">
        <v>16</v>
      </c>
      <c r="N15" s="20" t="s">
        <v>16</v>
      </c>
      <c r="O15" s="16" t="s">
        <v>16</v>
      </c>
    </row>
    <row r="16" ht="46" customHeight="1" spans="1:15" x14ac:dyDescent="0.25">
      <c r="A16" s="9" t="s">
        <v>1724</v>
      </c>
      <c r="B16" s="10" t="s">
        <v>1652</v>
      </c>
      <c r="C16" s="10" t="s">
        <v>804</v>
      </c>
      <c r="D16" s="10" t="s">
        <v>1725</v>
      </c>
      <c r="E16" s="11" t="s">
        <v>93</v>
      </c>
      <c r="F16" s="12" t="s">
        <v>85</v>
      </c>
      <c r="G16" s="10" t="s">
        <v>1726</v>
      </c>
      <c r="H16" s="10" t="s">
        <v>1727</v>
      </c>
      <c r="I16" s="10" t="s">
        <v>1728</v>
      </c>
      <c r="J16" s="10" t="s">
        <v>1729</v>
      </c>
      <c r="K16" s="10" t="s">
        <v>16</v>
      </c>
      <c r="L16" s="13" t="s">
        <v>90</v>
      </c>
      <c r="M16" s="10" t="s">
        <v>16</v>
      </c>
      <c r="N16" s="14" t="s">
        <v>16</v>
      </c>
      <c r="O16" s="10" t="s">
        <v>16</v>
      </c>
    </row>
    <row r="17" ht="46" customHeight="1" spans="1:15" x14ac:dyDescent="0.25">
      <c r="A17" s="15" t="s">
        <v>1730</v>
      </c>
      <c r="B17" s="16" t="s">
        <v>1652</v>
      </c>
      <c r="C17" s="16" t="s">
        <v>84</v>
      </c>
      <c r="D17" s="16" t="s">
        <v>1731</v>
      </c>
      <c r="E17" s="17" t="s">
        <v>84</v>
      </c>
      <c r="F17" s="18" t="s">
        <v>85</v>
      </c>
      <c r="G17" s="16" t="s">
        <v>1678</v>
      </c>
      <c r="H17" s="16" t="s">
        <v>1732</v>
      </c>
      <c r="I17" s="16" t="s">
        <v>1733</v>
      </c>
      <c r="J17" s="16" t="s">
        <v>1734</v>
      </c>
      <c r="K17" s="16" t="s">
        <v>16</v>
      </c>
      <c r="L17" s="19" t="s">
        <v>90</v>
      </c>
      <c r="M17" s="16" t="s">
        <v>16</v>
      </c>
      <c r="N17" s="20" t="s">
        <v>16</v>
      </c>
      <c r="O17" s="16" t="s">
        <v>16</v>
      </c>
    </row>
    <row r="18" ht="46" customHeight="1" spans="1:15" x14ac:dyDescent="0.25">
      <c r="A18" s="9" t="s">
        <v>1735</v>
      </c>
      <c r="B18" s="10" t="s">
        <v>1652</v>
      </c>
      <c r="C18" s="10" t="s">
        <v>685</v>
      </c>
      <c r="D18" s="10" t="s">
        <v>1736</v>
      </c>
      <c r="E18" s="11" t="s">
        <v>84</v>
      </c>
      <c r="F18" s="12" t="s">
        <v>85</v>
      </c>
      <c r="G18" s="10" t="s">
        <v>137</v>
      </c>
      <c r="H18" s="10" t="s">
        <v>1737</v>
      </c>
      <c r="I18" s="10" t="s">
        <v>139</v>
      </c>
      <c r="J18" s="10" t="s">
        <v>1738</v>
      </c>
      <c r="K18" s="10" t="s">
        <v>16</v>
      </c>
      <c r="L18" s="13" t="s">
        <v>90</v>
      </c>
      <c r="M18" s="10" t="s">
        <v>16</v>
      </c>
      <c r="N18" s="14" t="s">
        <v>16</v>
      </c>
      <c r="O18" s="10" t="s">
        <v>16</v>
      </c>
    </row>
    <row r="19" ht="46" customHeight="1" spans="1:15" x14ac:dyDescent="0.25">
      <c r="A19" s="15" t="s">
        <v>1739</v>
      </c>
      <c r="B19" s="16" t="s">
        <v>1652</v>
      </c>
      <c r="C19" s="16" t="s">
        <v>1344</v>
      </c>
      <c r="D19" s="16" t="s">
        <v>1740</v>
      </c>
      <c r="E19" s="17" t="s">
        <v>84</v>
      </c>
      <c r="F19" s="18" t="s">
        <v>85</v>
      </c>
      <c r="G19" s="16" t="s">
        <v>1741</v>
      </c>
      <c r="H19" s="16" t="s">
        <v>1742</v>
      </c>
      <c r="I19" s="16" t="s">
        <v>139</v>
      </c>
      <c r="J19" s="16" t="s">
        <v>1743</v>
      </c>
      <c r="K19" s="16" t="s">
        <v>16</v>
      </c>
      <c r="L19" s="19" t="s">
        <v>90</v>
      </c>
      <c r="M19" s="16" t="s">
        <v>16</v>
      </c>
      <c r="N19" s="20" t="s">
        <v>16</v>
      </c>
      <c r="O19" s="16" t="s">
        <v>16</v>
      </c>
    </row>
  </sheetData>
  <autoFilter ref="A3:O19"/>
  <mergeCells count="2">
    <mergeCell ref="A1:O1"/>
    <mergeCell ref="A2:O2"/>
  </mergeCells>
  <conditionalFormatting sqref="L4:L19">
    <cfRule type="containsText" dxfId="39" priority="1">
      <formula>NOT(ISERROR(SEARCH("Pass",L4)))</formula>
    </cfRule>
    <cfRule type="containsText" dxfId="40" priority="2">
      <formula>NOT(ISERROR(SEARCH("Fail",L4)))</formula>
    </cfRule>
    <cfRule type="containsText" dxfId="41" priority="3">
      <formula>NOT(ISERROR(SEARCH("Blocked",L4)))</formula>
    </cfRule>
  </conditionalFormatting>
  <dataValidations count="2">
    <dataValidation type="list" showErrorMessage="1" errorTitle="Invalid status" error="Choose: Not Executed, Pass, Fail, Blocked or N/A" sqref="L10:L19">
      <formula1>"Not Executed,Pass,Fail,Blocked,N/A"</formula1>
    </dataValidation>
    <dataValidation type="list" showErrorMessage="1" errorTitle="Invalid status" error="Choose: Not Executed, Pass, Fail, Blocked or N/A" sqref="L4:L19">
      <formula1>"Not Executed,Pass,Fail,Blocked,N/A"</formula1>
    </dataValidation>
  </dataValidation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workbookViewId="0" zoomScale="90">
      <pane xSplit="1" ySplit="3" topLeftCell="B4" activePane="bottomRight" state="frozen"/>
      <selection pane="bottomRight"/>
    </sheetView>
  </sheetViews>
  <sheetFormatPr defaultRowHeight="15" outlineLevelRow="0" outlineLevelCol="0" x14ac:dyDescent="55"/>
  <cols>
    <col min="1" max="1" width="12" customWidth="1"/>
    <col min="2" max="2" width="20" customWidth="1"/>
    <col min="3" max="3" width="22" customWidth="1"/>
    <col min="4" max="4" width="46" customWidth="1"/>
    <col min="5" max="5" width="14" customWidth="1"/>
    <col min="6" max="6" width="10" customWidth="1"/>
    <col min="7" max="7" width="38" customWidth="1"/>
    <col min="8" max="8" width="50" customWidth="1"/>
    <col min="9" max="9" width="26" customWidth="1"/>
    <col min="10" max="10" width="66" customWidth="1"/>
    <col min="11" max="11" width="30" customWidth="1"/>
    <col min="12" max="14" width="14" customWidth="1"/>
    <col min="15" max="15" width="26" customWidth="1"/>
  </cols>
  <sheetData>
    <row r="1" ht="28" customHeight="1" spans="1:15" x14ac:dyDescent="0.25">
      <c r="A1" s="6" t="s">
        <v>1744</v>
      </c>
      <c r="B1" s="6"/>
      <c r="C1" s="6"/>
      <c r="D1" s="6"/>
      <c r="E1" s="6"/>
      <c r="F1" s="6"/>
      <c r="G1" s="6"/>
      <c r="H1" s="6"/>
      <c r="I1" s="6"/>
      <c r="J1" s="6"/>
      <c r="K1" s="6"/>
      <c r="L1" s="6"/>
      <c r="M1" s="6"/>
      <c r="N1" s="6"/>
      <c r="O1" s="6"/>
    </row>
    <row r="2" ht="20" customHeight="1" spans="1:15" x14ac:dyDescent="0.25">
      <c r="A2" s="7" t="s">
        <v>1745</v>
      </c>
      <c r="B2" s="7"/>
      <c r="C2" s="7"/>
      <c r="D2" s="7"/>
      <c r="E2" s="7"/>
      <c r="F2" s="7"/>
      <c r="G2" s="7"/>
      <c r="H2" s="7"/>
      <c r="I2" s="7"/>
      <c r="J2" s="7"/>
      <c r="K2" s="7"/>
      <c r="L2" s="7"/>
      <c r="M2" s="7"/>
      <c r="N2" s="7"/>
      <c r="O2" s="7"/>
    </row>
    <row r="3" ht="30" customHeight="1" spans="1:15" x14ac:dyDescent="0.25">
      <c r="A3" s="8" t="s">
        <v>65</v>
      </c>
      <c r="B3" s="8" t="s">
        <v>66</v>
      </c>
      <c r="C3" s="8" t="s">
        <v>67</v>
      </c>
      <c r="D3" s="8" t="s">
        <v>68</v>
      </c>
      <c r="E3" s="8" t="s">
        <v>69</v>
      </c>
      <c r="F3" s="8" t="s">
        <v>70</v>
      </c>
      <c r="G3" s="8" t="s">
        <v>71</v>
      </c>
      <c r="H3" s="8" t="s">
        <v>72</v>
      </c>
      <c r="I3" s="8" t="s">
        <v>73</v>
      </c>
      <c r="J3" s="8" t="s">
        <v>74</v>
      </c>
      <c r="K3" s="8" t="s">
        <v>75</v>
      </c>
      <c r="L3" s="8" t="s">
        <v>76</v>
      </c>
      <c r="M3" s="8" t="s">
        <v>77</v>
      </c>
      <c r="N3" s="8" t="s">
        <v>78</v>
      </c>
      <c r="O3" s="8" t="s">
        <v>79</v>
      </c>
    </row>
    <row r="4" ht="46" customHeight="1" spans="1:15" x14ac:dyDescent="0.25">
      <c r="A4" s="9" t="s">
        <v>1746</v>
      </c>
      <c r="B4" s="10" t="s">
        <v>1747</v>
      </c>
      <c r="C4" s="10" t="s">
        <v>1748</v>
      </c>
      <c r="D4" s="10" t="s">
        <v>1749</v>
      </c>
      <c r="E4" s="11" t="s">
        <v>84</v>
      </c>
      <c r="F4" s="12" t="s">
        <v>85</v>
      </c>
      <c r="G4" s="10" t="s">
        <v>181</v>
      </c>
      <c r="H4" s="10" t="s">
        <v>1750</v>
      </c>
      <c r="I4" s="10" t="s">
        <v>139</v>
      </c>
      <c r="J4" s="10" t="s">
        <v>1751</v>
      </c>
      <c r="K4" s="10" t="s">
        <v>16</v>
      </c>
      <c r="L4" s="13" t="s">
        <v>90</v>
      </c>
      <c r="M4" s="10" t="s">
        <v>16</v>
      </c>
      <c r="N4" s="14" t="s">
        <v>16</v>
      </c>
      <c r="O4" s="10" t="s">
        <v>16</v>
      </c>
    </row>
    <row r="5" ht="46" customHeight="1" spans="1:15" x14ac:dyDescent="0.25">
      <c r="A5" s="15" t="s">
        <v>1752</v>
      </c>
      <c r="B5" s="16" t="s">
        <v>1747</v>
      </c>
      <c r="C5" s="16" t="s">
        <v>1748</v>
      </c>
      <c r="D5" s="16" t="s">
        <v>1753</v>
      </c>
      <c r="E5" s="17" t="s">
        <v>93</v>
      </c>
      <c r="F5" s="18" t="s">
        <v>85</v>
      </c>
      <c r="G5" s="16" t="s">
        <v>1754</v>
      </c>
      <c r="H5" s="16" t="s">
        <v>1755</v>
      </c>
      <c r="I5" s="16" t="s">
        <v>139</v>
      </c>
      <c r="J5" s="16" t="s">
        <v>1756</v>
      </c>
      <c r="K5" s="16" t="s">
        <v>16</v>
      </c>
      <c r="L5" s="19" t="s">
        <v>90</v>
      </c>
      <c r="M5" s="16" t="s">
        <v>16</v>
      </c>
      <c r="N5" s="20" t="s">
        <v>16</v>
      </c>
      <c r="O5" s="16" t="s">
        <v>16</v>
      </c>
    </row>
    <row r="6" ht="46" customHeight="1" spans="1:15" x14ac:dyDescent="0.25">
      <c r="A6" s="9" t="s">
        <v>1757</v>
      </c>
      <c r="B6" s="10" t="s">
        <v>1747</v>
      </c>
      <c r="C6" s="10" t="s">
        <v>1748</v>
      </c>
      <c r="D6" s="10" t="s">
        <v>1758</v>
      </c>
      <c r="E6" s="11" t="s">
        <v>311</v>
      </c>
      <c r="F6" s="12" t="s">
        <v>85</v>
      </c>
      <c r="G6" s="10" t="s">
        <v>1759</v>
      </c>
      <c r="H6" s="10" t="s">
        <v>1760</v>
      </c>
      <c r="I6" s="10" t="s">
        <v>139</v>
      </c>
      <c r="J6" s="10" t="s">
        <v>1761</v>
      </c>
      <c r="K6" s="10" t="s">
        <v>16</v>
      </c>
      <c r="L6" s="13" t="s">
        <v>90</v>
      </c>
      <c r="M6" s="10" t="s">
        <v>16</v>
      </c>
      <c r="N6" s="14" t="s">
        <v>16</v>
      </c>
      <c r="O6" s="10" t="s">
        <v>16</v>
      </c>
    </row>
    <row r="7" ht="46" customHeight="1" spans="1:15" x14ac:dyDescent="0.25">
      <c r="A7" s="15" t="s">
        <v>1762</v>
      </c>
      <c r="B7" s="16" t="s">
        <v>1747</v>
      </c>
      <c r="C7" s="16" t="s">
        <v>1748</v>
      </c>
      <c r="D7" s="16" t="s">
        <v>1763</v>
      </c>
      <c r="E7" s="17" t="s">
        <v>93</v>
      </c>
      <c r="F7" s="18" t="s">
        <v>85</v>
      </c>
      <c r="G7" s="16" t="s">
        <v>1764</v>
      </c>
      <c r="H7" s="16" t="s">
        <v>1765</v>
      </c>
      <c r="I7" s="16" t="s">
        <v>139</v>
      </c>
      <c r="J7" s="16" t="s">
        <v>1766</v>
      </c>
      <c r="K7" s="16" t="s">
        <v>16</v>
      </c>
      <c r="L7" s="19" t="s">
        <v>90</v>
      </c>
      <c r="M7" s="16" t="s">
        <v>16</v>
      </c>
      <c r="N7" s="20" t="s">
        <v>16</v>
      </c>
      <c r="O7" s="16" t="s">
        <v>16</v>
      </c>
    </row>
    <row r="8" ht="46" customHeight="1" spans="1:15" x14ac:dyDescent="0.25">
      <c r="A8" s="9" t="s">
        <v>1767</v>
      </c>
      <c r="B8" s="10" t="s">
        <v>1747</v>
      </c>
      <c r="C8" s="10" t="s">
        <v>1748</v>
      </c>
      <c r="D8" s="10" t="s">
        <v>1768</v>
      </c>
      <c r="E8" s="11" t="s">
        <v>84</v>
      </c>
      <c r="F8" s="12" t="s">
        <v>85</v>
      </c>
      <c r="G8" s="10" t="s">
        <v>306</v>
      </c>
      <c r="H8" s="10" t="s">
        <v>1769</v>
      </c>
      <c r="I8" s="10" t="s">
        <v>139</v>
      </c>
      <c r="J8" s="10" t="s">
        <v>1770</v>
      </c>
      <c r="K8" s="10" t="s">
        <v>16</v>
      </c>
      <c r="L8" s="13" t="s">
        <v>90</v>
      </c>
      <c r="M8" s="10" t="s">
        <v>16</v>
      </c>
      <c r="N8" s="14" t="s">
        <v>16</v>
      </c>
      <c r="O8" s="10" t="s">
        <v>16</v>
      </c>
    </row>
    <row r="9" ht="46" customHeight="1" spans="1:15" x14ac:dyDescent="0.25">
      <c r="A9" s="15" t="s">
        <v>1771</v>
      </c>
      <c r="B9" s="16" t="s">
        <v>1747</v>
      </c>
      <c r="C9" s="16" t="s">
        <v>1772</v>
      </c>
      <c r="D9" s="16" t="s">
        <v>1773</v>
      </c>
      <c r="E9" s="17" t="s">
        <v>93</v>
      </c>
      <c r="F9" s="18" t="s">
        <v>85</v>
      </c>
      <c r="G9" s="16" t="s">
        <v>1774</v>
      </c>
      <c r="H9" s="16" t="s">
        <v>1775</v>
      </c>
      <c r="I9" s="16" t="s">
        <v>1776</v>
      </c>
      <c r="J9" s="16" t="s">
        <v>1777</v>
      </c>
      <c r="K9" s="16" t="s">
        <v>16</v>
      </c>
      <c r="L9" s="19" t="s">
        <v>90</v>
      </c>
      <c r="M9" s="16" t="s">
        <v>16</v>
      </c>
      <c r="N9" s="20" t="s">
        <v>16</v>
      </c>
      <c r="O9" s="16" t="s">
        <v>16</v>
      </c>
    </row>
    <row r="10" ht="46" customHeight="1" spans="1:15" x14ac:dyDescent="0.25">
      <c r="A10" s="9" t="s">
        <v>1778</v>
      </c>
      <c r="B10" s="10" t="s">
        <v>1747</v>
      </c>
      <c r="C10" s="10" t="s">
        <v>1772</v>
      </c>
      <c r="D10" s="10" t="s">
        <v>1779</v>
      </c>
      <c r="E10" s="11" t="s">
        <v>311</v>
      </c>
      <c r="F10" s="12" t="s">
        <v>85</v>
      </c>
      <c r="G10" s="10" t="s">
        <v>1780</v>
      </c>
      <c r="H10" s="10" t="s">
        <v>1781</v>
      </c>
      <c r="I10" s="10" t="s">
        <v>1782</v>
      </c>
      <c r="J10" s="10" t="s">
        <v>1783</v>
      </c>
      <c r="K10" s="10" t="s">
        <v>16</v>
      </c>
      <c r="L10" s="13" t="s">
        <v>90</v>
      </c>
      <c r="M10" s="10" t="s">
        <v>16</v>
      </c>
      <c r="N10" s="14" t="s">
        <v>16</v>
      </c>
      <c r="O10" s="10" t="s">
        <v>16</v>
      </c>
    </row>
    <row r="11" ht="46" customHeight="1" spans="1:15" x14ac:dyDescent="0.25">
      <c r="A11" s="15" t="s">
        <v>1784</v>
      </c>
      <c r="B11" s="16" t="s">
        <v>1747</v>
      </c>
      <c r="C11" s="16" t="s">
        <v>1772</v>
      </c>
      <c r="D11" s="16" t="s">
        <v>1785</v>
      </c>
      <c r="E11" s="17" t="s">
        <v>311</v>
      </c>
      <c r="F11" s="18" t="s">
        <v>85</v>
      </c>
      <c r="G11" s="16" t="s">
        <v>1786</v>
      </c>
      <c r="H11" s="16" t="s">
        <v>1787</v>
      </c>
      <c r="I11" s="16" t="s">
        <v>139</v>
      </c>
      <c r="J11" s="16" t="s">
        <v>1788</v>
      </c>
      <c r="K11" s="16" t="s">
        <v>16</v>
      </c>
      <c r="L11" s="19" t="s">
        <v>90</v>
      </c>
      <c r="M11" s="16" t="s">
        <v>16</v>
      </c>
      <c r="N11" s="20" t="s">
        <v>16</v>
      </c>
      <c r="O11" s="16" t="s">
        <v>16</v>
      </c>
    </row>
    <row r="12" ht="46" customHeight="1" spans="1:15" x14ac:dyDescent="0.25">
      <c r="A12" s="9" t="s">
        <v>1789</v>
      </c>
      <c r="B12" s="10" t="s">
        <v>1747</v>
      </c>
      <c r="C12" s="10" t="s">
        <v>1772</v>
      </c>
      <c r="D12" s="10" t="s">
        <v>1790</v>
      </c>
      <c r="E12" s="11" t="s">
        <v>93</v>
      </c>
      <c r="F12" s="13" t="s">
        <v>124</v>
      </c>
      <c r="G12" s="10" t="s">
        <v>1791</v>
      </c>
      <c r="H12" s="10" t="s">
        <v>1792</v>
      </c>
      <c r="I12" s="10" t="s">
        <v>139</v>
      </c>
      <c r="J12" s="10" t="s">
        <v>1793</v>
      </c>
      <c r="K12" s="10" t="s">
        <v>16</v>
      </c>
      <c r="L12" s="13" t="s">
        <v>90</v>
      </c>
      <c r="M12" s="10" t="s">
        <v>16</v>
      </c>
      <c r="N12" s="14" t="s">
        <v>16</v>
      </c>
      <c r="O12" s="10" t="s">
        <v>16</v>
      </c>
    </row>
    <row r="13" ht="46" customHeight="1" spans="1:15" x14ac:dyDescent="0.25">
      <c r="A13" s="15" t="s">
        <v>1794</v>
      </c>
      <c r="B13" s="16" t="s">
        <v>1747</v>
      </c>
      <c r="C13" s="16" t="s">
        <v>1772</v>
      </c>
      <c r="D13" s="16" t="s">
        <v>1795</v>
      </c>
      <c r="E13" s="17" t="s">
        <v>84</v>
      </c>
      <c r="F13" s="18" t="s">
        <v>85</v>
      </c>
      <c r="G13" s="16" t="s">
        <v>1796</v>
      </c>
      <c r="H13" s="16" t="s">
        <v>1797</v>
      </c>
      <c r="I13" s="16" t="s">
        <v>139</v>
      </c>
      <c r="J13" s="16" t="s">
        <v>1798</v>
      </c>
      <c r="K13" s="16" t="s">
        <v>16</v>
      </c>
      <c r="L13" s="19" t="s">
        <v>90</v>
      </c>
      <c r="M13" s="16" t="s">
        <v>16</v>
      </c>
      <c r="N13" s="20" t="s">
        <v>16</v>
      </c>
      <c r="O13" s="16" t="s">
        <v>16</v>
      </c>
    </row>
    <row r="14" ht="46" customHeight="1" spans="1:15" x14ac:dyDescent="0.25">
      <c r="A14" s="9" t="s">
        <v>1799</v>
      </c>
      <c r="B14" s="10" t="s">
        <v>1747</v>
      </c>
      <c r="C14" s="10" t="s">
        <v>1772</v>
      </c>
      <c r="D14" s="10" t="s">
        <v>1800</v>
      </c>
      <c r="E14" s="11" t="s">
        <v>311</v>
      </c>
      <c r="F14" s="12" t="s">
        <v>85</v>
      </c>
      <c r="G14" s="10" t="s">
        <v>1801</v>
      </c>
      <c r="H14" s="10" t="s">
        <v>1802</v>
      </c>
      <c r="I14" s="10" t="s">
        <v>139</v>
      </c>
      <c r="J14" s="10" t="s">
        <v>1803</v>
      </c>
      <c r="K14" s="10" t="s">
        <v>16</v>
      </c>
      <c r="L14" s="13" t="s">
        <v>90</v>
      </c>
      <c r="M14" s="10" t="s">
        <v>16</v>
      </c>
      <c r="N14" s="14" t="s">
        <v>16</v>
      </c>
      <c r="O14" s="10" t="s">
        <v>16</v>
      </c>
    </row>
    <row r="15" ht="46" customHeight="1" spans="1:15" x14ac:dyDescent="0.25">
      <c r="A15" s="15" t="s">
        <v>1804</v>
      </c>
      <c r="B15" s="16" t="s">
        <v>1747</v>
      </c>
      <c r="C15" s="16" t="s">
        <v>1805</v>
      </c>
      <c r="D15" s="16" t="s">
        <v>1806</v>
      </c>
      <c r="E15" s="17" t="s">
        <v>84</v>
      </c>
      <c r="F15" s="18" t="s">
        <v>85</v>
      </c>
      <c r="G15" s="16" t="s">
        <v>1807</v>
      </c>
      <c r="H15" s="16" t="s">
        <v>1808</v>
      </c>
      <c r="I15" s="16" t="s">
        <v>139</v>
      </c>
      <c r="J15" s="16" t="s">
        <v>1809</v>
      </c>
      <c r="K15" s="16" t="s">
        <v>16</v>
      </c>
      <c r="L15" s="19" t="s">
        <v>90</v>
      </c>
      <c r="M15" s="16" t="s">
        <v>16</v>
      </c>
      <c r="N15" s="20" t="s">
        <v>16</v>
      </c>
      <c r="O15" s="16" t="s">
        <v>16</v>
      </c>
    </row>
    <row r="16" ht="70" customHeight="1" spans="1:15" x14ac:dyDescent="0.25">
      <c r="A16" s="9" t="s">
        <v>1810</v>
      </c>
      <c r="B16" s="10" t="s">
        <v>1747</v>
      </c>
      <c r="C16" s="10" t="s">
        <v>1805</v>
      </c>
      <c r="D16" s="10" t="s">
        <v>1811</v>
      </c>
      <c r="E16" s="11" t="s">
        <v>93</v>
      </c>
      <c r="F16" s="13" t="s">
        <v>124</v>
      </c>
      <c r="G16" s="10" t="s">
        <v>1812</v>
      </c>
      <c r="H16" s="10" t="s">
        <v>1813</v>
      </c>
      <c r="I16" s="10" t="s">
        <v>139</v>
      </c>
      <c r="J16" s="10" t="s">
        <v>1814</v>
      </c>
      <c r="K16" s="10" t="s">
        <v>16</v>
      </c>
      <c r="L16" s="13" t="s">
        <v>90</v>
      </c>
      <c r="M16" s="10" t="s">
        <v>16</v>
      </c>
      <c r="N16" s="14" t="s">
        <v>16</v>
      </c>
      <c r="O16" s="10" t="s">
        <v>16</v>
      </c>
    </row>
    <row r="17" ht="46" customHeight="1" spans="1:15" x14ac:dyDescent="0.25">
      <c r="A17" s="15" t="s">
        <v>1815</v>
      </c>
      <c r="B17" s="16" t="s">
        <v>1747</v>
      </c>
      <c r="C17" s="16" t="s">
        <v>1805</v>
      </c>
      <c r="D17" s="16" t="s">
        <v>1816</v>
      </c>
      <c r="E17" s="17" t="s">
        <v>93</v>
      </c>
      <c r="F17" s="19" t="s">
        <v>124</v>
      </c>
      <c r="G17" s="16" t="s">
        <v>1817</v>
      </c>
      <c r="H17" s="16" t="s">
        <v>1818</v>
      </c>
      <c r="I17" s="16" t="s">
        <v>139</v>
      </c>
      <c r="J17" s="16" t="s">
        <v>1819</v>
      </c>
      <c r="K17" s="16" t="s">
        <v>16</v>
      </c>
      <c r="L17" s="19" t="s">
        <v>90</v>
      </c>
      <c r="M17" s="16" t="s">
        <v>16</v>
      </c>
      <c r="N17" s="20" t="s">
        <v>16</v>
      </c>
      <c r="O17" s="16" t="s">
        <v>16</v>
      </c>
    </row>
    <row r="18" ht="46" customHeight="1" spans="1:15" x14ac:dyDescent="0.25">
      <c r="A18" s="9" t="s">
        <v>1820</v>
      </c>
      <c r="B18" s="10" t="s">
        <v>1747</v>
      </c>
      <c r="C18" s="10" t="s">
        <v>1805</v>
      </c>
      <c r="D18" s="10" t="s">
        <v>1821</v>
      </c>
      <c r="E18" s="11" t="s">
        <v>84</v>
      </c>
      <c r="F18" s="12" t="s">
        <v>85</v>
      </c>
      <c r="G18" s="10" t="s">
        <v>1822</v>
      </c>
      <c r="H18" s="10" t="s">
        <v>1823</v>
      </c>
      <c r="I18" s="10" t="s">
        <v>139</v>
      </c>
      <c r="J18" s="10" t="s">
        <v>1824</v>
      </c>
      <c r="K18" s="10" t="s">
        <v>16</v>
      </c>
      <c r="L18" s="13" t="s">
        <v>90</v>
      </c>
      <c r="M18" s="10" t="s">
        <v>16</v>
      </c>
      <c r="N18" s="14" t="s">
        <v>16</v>
      </c>
      <c r="O18" s="10" t="s">
        <v>16</v>
      </c>
    </row>
    <row r="19" ht="46" customHeight="1" spans="1:15" x14ac:dyDescent="0.25">
      <c r="A19" s="15" t="s">
        <v>1825</v>
      </c>
      <c r="B19" s="16" t="s">
        <v>1747</v>
      </c>
      <c r="C19" s="16" t="s">
        <v>1805</v>
      </c>
      <c r="D19" s="16" t="s">
        <v>1826</v>
      </c>
      <c r="E19" s="17" t="s">
        <v>84</v>
      </c>
      <c r="F19" s="18" t="s">
        <v>85</v>
      </c>
      <c r="G19" s="16" t="s">
        <v>1827</v>
      </c>
      <c r="H19" s="16" t="s">
        <v>1828</v>
      </c>
      <c r="I19" s="16" t="s">
        <v>139</v>
      </c>
      <c r="J19" s="16" t="s">
        <v>1829</v>
      </c>
      <c r="K19" s="16" t="s">
        <v>16</v>
      </c>
      <c r="L19" s="19" t="s">
        <v>90</v>
      </c>
      <c r="M19" s="16" t="s">
        <v>16</v>
      </c>
      <c r="N19" s="20" t="s">
        <v>16</v>
      </c>
      <c r="O19" s="16" t="s">
        <v>16</v>
      </c>
    </row>
    <row r="20" ht="46" customHeight="1" spans="1:15" x14ac:dyDescent="0.25">
      <c r="A20" s="9" t="s">
        <v>1830</v>
      </c>
      <c r="B20" s="10" t="s">
        <v>1747</v>
      </c>
      <c r="C20" s="10" t="s">
        <v>1805</v>
      </c>
      <c r="D20" s="10" t="s">
        <v>1831</v>
      </c>
      <c r="E20" s="11" t="s">
        <v>84</v>
      </c>
      <c r="F20" s="12" t="s">
        <v>85</v>
      </c>
      <c r="G20" s="10" t="s">
        <v>209</v>
      </c>
      <c r="H20" s="10" t="s">
        <v>1832</v>
      </c>
      <c r="I20" s="10" t="s">
        <v>139</v>
      </c>
      <c r="J20" s="10" t="s">
        <v>1833</v>
      </c>
      <c r="K20" s="10" t="s">
        <v>16</v>
      </c>
      <c r="L20" s="13" t="s">
        <v>90</v>
      </c>
      <c r="M20" s="10" t="s">
        <v>16</v>
      </c>
      <c r="N20" s="14" t="s">
        <v>16</v>
      </c>
      <c r="O20" s="10" t="s">
        <v>16</v>
      </c>
    </row>
  </sheetData>
  <autoFilter ref="A3:O20"/>
  <mergeCells count="2">
    <mergeCell ref="A1:O1"/>
    <mergeCell ref="A2:O2"/>
  </mergeCells>
  <conditionalFormatting sqref="L4:L20">
    <cfRule type="containsText" dxfId="42" priority="1">
      <formula>NOT(ISERROR(SEARCH("Pass",L4)))</formula>
    </cfRule>
    <cfRule type="containsText" dxfId="43" priority="2">
      <formula>NOT(ISERROR(SEARCH("Fail",L4)))</formula>
    </cfRule>
    <cfRule type="containsText" dxfId="44" priority="3">
      <formula>NOT(ISERROR(SEARCH("Blocked",L4)))</formula>
    </cfRule>
  </conditionalFormatting>
  <dataValidations count="2">
    <dataValidation type="list" showErrorMessage="1" errorTitle="Invalid status" error="Choose: Not Executed, Pass, Fail, Blocked or N/A" sqref="L10:L20">
      <formula1>"Not Executed,Pass,Fail,Blocked,N/A"</formula1>
    </dataValidation>
    <dataValidation type="list" showErrorMessage="1" errorTitle="Invalid status" error="Choose: Not Executed, Pass, Fail, Blocked or N/A" sqref="L4:L20">
      <formula1>"Not Executed,Pass,Fail,Blocked,N/A"</formula1>
    </dataValidation>
  </dataValidation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8"/>
  <sheetViews>
    <sheetView workbookViewId="0" zoomScale="90">
      <pane xSplit="1" ySplit="3" topLeftCell="B4" activePane="bottomRight" state="frozen"/>
      <selection pane="bottomRight"/>
    </sheetView>
  </sheetViews>
  <sheetFormatPr defaultRowHeight="15" outlineLevelRow="0" outlineLevelCol="0" x14ac:dyDescent="55"/>
  <cols>
    <col min="1" max="1" width="12" customWidth="1"/>
    <col min="2" max="2" width="20" customWidth="1"/>
    <col min="3" max="3" width="22" customWidth="1"/>
    <col min="4" max="4" width="46" customWidth="1"/>
    <col min="5" max="5" width="14" customWidth="1"/>
    <col min="6" max="6" width="10" customWidth="1"/>
    <col min="7" max="7" width="38" customWidth="1"/>
    <col min="8" max="8" width="50" customWidth="1"/>
    <col min="9" max="9" width="26" customWidth="1"/>
    <col min="10" max="10" width="66" customWidth="1"/>
    <col min="11" max="11" width="30" customWidth="1"/>
    <col min="12" max="14" width="14" customWidth="1"/>
    <col min="15" max="15" width="26" customWidth="1"/>
  </cols>
  <sheetData>
    <row r="1" ht="28" customHeight="1" spans="1:15" x14ac:dyDescent="0.25">
      <c r="A1" s="6" t="s">
        <v>1834</v>
      </c>
      <c r="B1" s="6"/>
      <c r="C1" s="6"/>
      <c r="D1" s="6"/>
      <c r="E1" s="6"/>
      <c r="F1" s="6"/>
      <c r="G1" s="6"/>
      <c r="H1" s="6"/>
      <c r="I1" s="6"/>
      <c r="J1" s="6"/>
      <c r="K1" s="6"/>
      <c r="L1" s="6"/>
      <c r="M1" s="6"/>
      <c r="N1" s="6"/>
      <c r="O1" s="6"/>
    </row>
    <row r="2" ht="20" customHeight="1" spans="1:15" x14ac:dyDescent="0.25">
      <c r="A2" s="7" t="s">
        <v>711</v>
      </c>
      <c r="B2" s="7"/>
      <c r="C2" s="7"/>
      <c r="D2" s="7"/>
      <c r="E2" s="7"/>
      <c r="F2" s="7"/>
      <c r="G2" s="7"/>
      <c r="H2" s="7"/>
      <c r="I2" s="7"/>
      <c r="J2" s="7"/>
      <c r="K2" s="7"/>
      <c r="L2" s="7"/>
      <c r="M2" s="7"/>
      <c r="N2" s="7"/>
      <c r="O2" s="7"/>
    </row>
    <row r="3" ht="30" customHeight="1" spans="1:15" x14ac:dyDescent="0.25">
      <c r="A3" s="8" t="s">
        <v>65</v>
      </c>
      <c r="B3" s="8" t="s">
        <v>66</v>
      </c>
      <c r="C3" s="8" t="s">
        <v>67</v>
      </c>
      <c r="D3" s="8" t="s">
        <v>68</v>
      </c>
      <c r="E3" s="8" t="s">
        <v>69</v>
      </c>
      <c r="F3" s="8" t="s">
        <v>70</v>
      </c>
      <c r="G3" s="8" t="s">
        <v>71</v>
      </c>
      <c r="H3" s="8" t="s">
        <v>72</v>
      </c>
      <c r="I3" s="8" t="s">
        <v>73</v>
      </c>
      <c r="J3" s="8" t="s">
        <v>74</v>
      </c>
      <c r="K3" s="8" t="s">
        <v>75</v>
      </c>
      <c r="L3" s="8" t="s">
        <v>76</v>
      </c>
      <c r="M3" s="8" t="s">
        <v>77</v>
      </c>
      <c r="N3" s="8" t="s">
        <v>78</v>
      </c>
      <c r="O3" s="8" t="s">
        <v>79</v>
      </c>
    </row>
    <row r="4" ht="46" customHeight="1" spans="1:15" x14ac:dyDescent="0.25">
      <c r="A4" s="9" t="s">
        <v>1835</v>
      </c>
      <c r="B4" s="10" t="s">
        <v>1836</v>
      </c>
      <c r="C4" s="10" t="s">
        <v>1837</v>
      </c>
      <c r="D4" s="10" t="s">
        <v>1838</v>
      </c>
      <c r="E4" s="11" t="s">
        <v>230</v>
      </c>
      <c r="F4" s="12" t="s">
        <v>85</v>
      </c>
      <c r="G4" s="10" t="s">
        <v>1839</v>
      </c>
      <c r="H4" s="10" t="s">
        <v>1840</v>
      </c>
      <c r="I4" s="10" t="s">
        <v>1841</v>
      </c>
      <c r="J4" s="10" t="s">
        <v>1842</v>
      </c>
      <c r="K4" s="10" t="s">
        <v>16</v>
      </c>
      <c r="L4" s="13" t="s">
        <v>90</v>
      </c>
      <c r="M4" s="10" t="s">
        <v>16</v>
      </c>
      <c r="N4" s="14" t="s">
        <v>16</v>
      </c>
      <c r="O4" s="10" t="s">
        <v>16</v>
      </c>
    </row>
    <row r="5" ht="46" customHeight="1" spans="1:15" x14ac:dyDescent="0.25">
      <c r="A5" s="15" t="s">
        <v>1843</v>
      </c>
      <c r="B5" s="16" t="s">
        <v>1836</v>
      </c>
      <c r="C5" s="16" t="s">
        <v>1837</v>
      </c>
      <c r="D5" s="16" t="s">
        <v>1844</v>
      </c>
      <c r="E5" s="17" t="s">
        <v>84</v>
      </c>
      <c r="F5" s="18" t="s">
        <v>85</v>
      </c>
      <c r="G5" s="16" t="s">
        <v>1845</v>
      </c>
      <c r="H5" s="16" t="s">
        <v>1846</v>
      </c>
      <c r="I5" s="16" t="s">
        <v>139</v>
      </c>
      <c r="J5" s="16" t="s">
        <v>1847</v>
      </c>
      <c r="K5" s="16" t="s">
        <v>16</v>
      </c>
      <c r="L5" s="19" t="s">
        <v>90</v>
      </c>
      <c r="M5" s="16" t="s">
        <v>16</v>
      </c>
      <c r="N5" s="20" t="s">
        <v>16</v>
      </c>
      <c r="O5" s="16" t="s">
        <v>16</v>
      </c>
    </row>
    <row r="6" ht="46" customHeight="1" spans="1:15" x14ac:dyDescent="0.25">
      <c r="A6" s="9" t="s">
        <v>1848</v>
      </c>
      <c r="B6" s="10" t="s">
        <v>1836</v>
      </c>
      <c r="C6" s="10" t="s">
        <v>514</v>
      </c>
      <c r="D6" s="10" t="s">
        <v>1849</v>
      </c>
      <c r="E6" s="11" t="s">
        <v>93</v>
      </c>
      <c r="F6" s="12" t="s">
        <v>85</v>
      </c>
      <c r="G6" s="10" t="s">
        <v>1850</v>
      </c>
      <c r="H6" s="10" t="s">
        <v>1851</v>
      </c>
      <c r="I6" s="10" t="s">
        <v>139</v>
      </c>
      <c r="J6" s="10" t="s">
        <v>1852</v>
      </c>
      <c r="K6" s="10" t="s">
        <v>16</v>
      </c>
      <c r="L6" s="13" t="s">
        <v>90</v>
      </c>
      <c r="M6" s="10" t="s">
        <v>16</v>
      </c>
      <c r="N6" s="14" t="s">
        <v>16</v>
      </c>
      <c r="O6" s="10" t="s">
        <v>16</v>
      </c>
    </row>
    <row r="7" ht="46" customHeight="1" spans="1:15" x14ac:dyDescent="0.25">
      <c r="A7" s="15" t="s">
        <v>1853</v>
      </c>
      <c r="B7" s="16" t="s">
        <v>1836</v>
      </c>
      <c r="C7" s="16" t="s">
        <v>47</v>
      </c>
      <c r="D7" s="16" t="s">
        <v>1854</v>
      </c>
      <c r="E7" s="17" t="s">
        <v>93</v>
      </c>
      <c r="F7" s="18" t="s">
        <v>85</v>
      </c>
      <c r="G7" s="16" t="s">
        <v>1855</v>
      </c>
      <c r="H7" s="16" t="s">
        <v>1856</v>
      </c>
      <c r="I7" s="16" t="s">
        <v>139</v>
      </c>
      <c r="J7" s="16" t="s">
        <v>1857</v>
      </c>
      <c r="K7" s="16" t="s">
        <v>16</v>
      </c>
      <c r="L7" s="19" t="s">
        <v>90</v>
      </c>
      <c r="M7" s="16" t="s">
        <v>16</v>
      </c>
      <c r="N7" s="20" t="s">
        <v>16</v>
      </c>
      <c r="O7" s="16" t="s">
        <v>16</v>
      </c>
    </row>
    <row r="8" ht="46" customHeight="1" spans="1:15" x14ac:dyDescent="0.25">
      <c r="A8" s="9" t="s">
        <v>1858</v>
      </c>
      <c r="B8" s="10" t="s">
        <v>1836</v>
      </c>
      <c r="C8" s="10" t="s">
        <v>795</v>
      </c>
      <c r="D8" s="10" t="s">
        <v>1859</v>
      </c>
      <c r="E8" s="11" t="s">
        <v>93</v>
      </c>
      <c r="F8" s="12" t="s">
        <v>85</v>
      </c>
      <c r="G8" s="10" t="s">
        <v>1860</v>
      </c>
      <c r="H8" s="10" t="s">
        <v>1861</v>
      </c>
      <c r="I8" s="10" t="s">
        <v>139</v>
      </c>
      <c r="J8" s="10" t="s">
        <v>1862</v>
      </c>
      <c r="K8" s="10" t="s">
        <v>16</v>
      </c>
      <c r="L8" s="13" t="s">
        <v>90</v>
      </c>
      <c r="M8" s="10" t="s">
        <v>16</v>
      </c>
      <c r="N8" s="14" t="s">
        <v>16</v>
      </c>
      <c r="O8" s="10" t="s">
        <v>16</v>
      </c>
    </row>
    <row r="9" ht="56" customHeight="1" spans="1:15" x14ac:dyDescent="0.25">
      <c r="A9" s="15" t="s">
        <v>1863</v>
      </c>
      <c r="B9" s="16" t="s">
        <v>1836</v>
      </c>
      <c r="C9" s="16" t="s">
        <v>795</v>
      </c>
      <c r="D9" s="16" t="s">
        <v>1864</v>
      </c>
      <c r="E9" s="17" t="s">
        <v>311</v>
      </c>
      <c r="F9" s="18" t="s">
        <v>85</v>
      </c>
      <c r="G9" s="16" t="s">
        <v>1865</v>
      </c>
      <c r="H9" s="16" t="s">
        <v>1866</v>
      </c>
      <c r="I9" s="16" t="s">
        <v>139</v>
      </c>
      <c r="J9" s="16" t="s">
        <v>1867</v>
      </c>
      <c r="K9" s="16" t="s">
        <v>16</v>
      </c>
      <c r="L9" s="19" t="s">
        <v>90</v>
      </c>
      <c r="M9" s="16" t="s">
        <v>16</v>
      </c>
      <c r="N9" s="20" t="s">
        <v>16</v>
      </c>
      <c r="O9" s="16" t="s">
        <v>16</v>
      </c>
    </row>
    <row r="10" ht="46" customHeight="1" spans="1:15" x14ac:dyDescent="0.25">
      <c r="A10" s="9" t="s">
        <v>1868</v>
      </c>
      <c r="B10" s="10" t="s">
        <v>1836</v>
      </c>
      <c r="C10" s="10" t="s">
        <v>1869</v>
      </c>
      <c r="D10" s="10" t="s">
        <v>1870</v>
      </c>
      <c r="E10" s="11" t="s">
        <v>93</v>
      </c>
      <c r="F10" s="12" t="s">
        <v>85</v>
      </c>
      <c r="G10" s="10" t="s">
        <v>1871</v>
      </c>
      <c r="H10" s="10" t="s">
        <v>1872</v>
      </c>
      <c r="I10" s="10" t="s">
        <v>139</v>
      </c>
      <c r="J10" s="10" t="s">
        <v>1873</v>
      </c>
      <c r="K10" s="10" t="s">
        <v>16</v>
      </c>
      <c r="L10" s="13" t="s">
        <v>90</v>
      </c>
      <c r="M10" s="10" t="s">
        <v>16</v>
      </c>
      <c r="N10" s="14" t="s">
        <v>16</v>
      </c>
      <c r="O10" s="10" t="s">
        <v>16</v>
      </c>
    </row>
    <row r="11" ht="46" customHeight="1" spans="1:15" x14ac:dyDescent="0.25">
      <c r="A11" s="15" t="s">
        <v>1874</v>
      </c>
      <c r="B11" s="16" t="s">
        <v>1836</v>
      </c>
      <c r="C11" s="16" t="s">
        <v>781</v>
      </c>
      <c r="D11" s="16" t="s">
        <v>1875</v>
      </c>
      <c r="E11" s="17" t="s">
        <v>230</v>
      </c>
      <c r="F11" s="18" t="s">
        <v>85</v>
      </c>
      <c r="G11" s="16" t="s">
        <v>1876</v>
      </c>
      <c r="H11" s="16" t="s">
        <v>1877</v>
      </c>
      <c r="I11" s="16" t="s">
        <v>139</v>
      </c>
      <c r="J11" s="16" t="s">
        <v>1878</v>
      </c>
      <c r="K11" s="16" t="s">
        <v>16</v>
      </c>
      <c r="L11" s="19" t="s">
        <v>90</v>
      </c>
      <c r="M11" s="16" t="s">
        <v>16</v>
      </c>
      <c r="N11" s="20" t="s">
        <v>16</v>
      </c>
      <c r="O11" s="16" t="s">
        <v>16</v>
      </c>
    </row>
    <row r="12" ht="46" customHeight="1" spans="1:15" x14ac:dyDescent="0.25">
      <c r="A12" s="9" t="s">
        <v>1879</v>
      </c>
      <c r="B12" s="10" t="s">
        <v>1836</v>
      </c>
      <c r="C12" s="10" t="s">
        <v>781</v>
      </c>
      <c r="D12" s="10" t="s">
        <v>1880</v>
      </c>
      <c r="E12" s="11" t="s">
        <v>93</v>
      </c>
      <c r="F12" s="13" t="s">
        <v>124</v>
      </c>
      <c r="G12" s="10" t="s">
        <v>1881</v>
      </c>
      <c r="H12" s="10" t="s">
        <v>1882</v>
      </c>
      <c r="I12" s="10" t="s">
        <v>139</v>
      </c>
      <c r="J12" s="10" t="s">
        <v>1883</v>
      </c>
      <c r="K12" s="10" t="s">
        <v>16</v>
      </c>
      <c r="L12" s="13" t="s">
        <v>90</v>
      </c>
      <c r="M12" s="10" t="s">
        <v>16</v>
      </c>
      <c r="N12" s="14" t="s">
        <v>16</v>
      </c>
      <c r="O12" s="10" t="s">
        <v>16</v>
      </c>
    </row>
    <row r="13" ht="46" customHeight="1" spans="1:15" x14ac:dyDescent="0.25">
      <c r="A13" s="15" t="s">
        <v>1884</v>
      </c>
      <c r="B13" s="16" t="s">
        <v>1836</v>
      </c>
      <c r="C13" s="16" t="s">
        <v>1885</v>
      </c>
      <c r="D13" s="16" t="s">
        <v>1886</v>
      </c>
      <c r="E13" s="17" t="s">
        <v>311</v>
      </c>
      <c r="F13" s="18" t="s">
        <v>85</v>
      </c>
      <c r="G13" s="16" t="s">
        <v>1887</v>
      </c>
      <c r="H13" s="16" t="s">
        <v>1888</v>
      </c>
      <c r="I13" s="16" t="s">
        <v>139</v>
      </c>
      <c r="J13" s="16" t="s">
        <v>1889</v>
      </c>
      <c r="K13" s="16" t="s">
        <v>16</v>
      </c>
      <c r="L13" s="19" t="s">
        <v>90</v>
      </c>
      <c r="M13" s="16" t="s">
        <v>16</v>
      </c>
      <c r="N13" s="20" t="s">
        <v>16</v>
      </c>
      <c r="O13" s="16" t="s">
        <v>16</v>
      </c>
    </row>
    <row r="14" ht="56" customHeight="1" spans="1:15" x14ac:dyDescent="0.25">
      <c r="A14" s="9" t="s">
        <v>1890</v>
      </c>
      <c r="B14" s="10" t="s">
        <v>1836</v>
      </c>
      <c r="C14" s="10" t="s">
        <v>1885</v>
      </c>
      <c r="D14" s="10" t="s">
        <v>1891</v>
      </c>
      <c r="E14" s="11" t="s">
        <v>311</v>
      </c>
      <c r="F14" s="12" t="s">
        <v>85</v>
      </c>
      <c r="G14" s="10" t="s">
        <v>1892</v>
      </c>
      <c r="H14" s="10" t="s">
        <v>1893</v>
      </c>
      <c r="I14" s="10" t="s">
        <v>139</v>
      </c>
      <c r="J14" s="10" t="s">
        <v>1894</v>
      </c>
      <c r="K14" s="10" t="s">
        <v>16</v>
      </c>
      <c r="L14" s="13" t="s">
        <v>90</v>
      </c>
      <c r="M14" s="10" t="s">
        <v>16</v>
      </c>
      <c r="N14" s="14" t="s">
        <v>16</v>
      </c>
      <c r="O14" s="10" t="s">
        <v>16</v>
      </c>
    </row>
    <row r="15" ht="46" customHeight="1" spans="1:15" x14ac:dyDescent="0.25">
      <c r="A15" s="15" t="s">
        <v>1895</v>
      </c>
      <c r="B15" s="16" t="s">
        <v>1836</v>
      </c>
      <c r="C15" s="16" t="s">
        <v>1896</v>
      </c>
      <c r="D15" s="16" t="s">
        <v>1897</v>
      </c>
      <c r="E15" s="17" t="s">
        <v>93</v>
      </c>
      <c r="F15" s="19" t="s">
        <v>124</v>
      </c>
      <c r="G15" s="16" t="s">
        <v>1898</v>
      </c>
      <c r="H15" s="16" t="s">
        <v>1899</v>
      </c>
      <c r="I15" s="16" t="s">
        <v>139</v>
      </c>
      <c r="J15" s="16" t="s">
        <v>1900</v>
      </c>
      <c r="K15" s="16" t="s">
        <v>16</v>
      </c>
      <c r="L15" s="19" t="s">
        <v>90</v>
      </c>
      <c r="M15" s="16" t="s">
        <v>16</v>
      </c>
      <c r="N15" s="20" t="s">
        <v>16</v>
      </c>
      <c r="O15" s="16" t="s">
        <v>16</v>
      </c>
    </row>
    <row r="16" ht="46" customHeight="1" spans="1:15" x14ac:dyDescent="0.25">
      <c r="A16" s="9" t="s">
        <v>1901</v>
      </c>
      <c r="B16" s="10" t="s">
        <v>1836</v>
      </c>
      <c r="C16" s="10" t="s">
        <v>1902</v>
      </c>
      <c r="D16" s="10" t="s">
        <v>1903</v>
      </c>
      <c r="E16" s="11" t="s">
        <v>230</v>
      </c>
      <c r="F16" s="12" t="s">
        <v>85</v>
      </c>
      <c r="G16" s="10" t="s">
        <v>1904</v>
      </c>
      <c r="H16" s="10" t="s">
        <v>1905</v>
      </c>
      <c r="I16" s="10" t="s">
        <v>139</v>
      </c>
      <c r="J16" s="10" t="s">
        <v>1906</v>
      </c>
      <c r="K16" s="10" t="s">
        <v>16</v>
      </c>
      <c r="L16" s="13" t="s">
        <v>90</v>
      </c>
      <c r="M16" s="10" t="s">
        <v>16</v>
      </c>
      <c r="N16" s="14" t="s">
        <v>16</v>
      </c>
      <c r="O16" s="10" t="s">
        <v>16</v>
      </c>
    </row>
    <row r="17" ht="56" customHeight="1" spans="1:15" x14ac:dyDescent="0.25">
      <c r="A17" s="15" t="s">
        <v>1907</v>
      </c>
      <c r="B17" s="16" t="s">
        <v>1836</v>
      </c>
      <c r="C17" s="16" t="s">
        <v>1908</v>
      </c>
      <c r="D17" s="16" t="s">
        <v>1909</v>
      </c>
      <c r="E17" s="17" t="s">
        <v>93</v>
      </c>
      <c r="F17" s="18" t="s">
        <v>85</v>
      </c>
      <c r="G17" s="16" t="s">
        <v>1910</v>
      </c>
      <c r="H17" s="16" t="s">
        <v>1911</v>
      </c>
      <c r="I17" s="16" t="s">
        <v>139</v>
      </c>
      <c r="J17" s="16" t="s">
        <v>1912</v>
      </c>
      <c r="K17" s="16" t="s">
        <v>16</v>
      </c>
      <c r="L17" s="19" t="s">
        <v>90</v>
      </c>
      <c r="M17" s="16" t="s">
        <v>16</v>
      </c>
      <c r="N17" s="20" t="s">
        <v>16</v>
      </c>
      <c r="O17" s="16" t="s">
        <v>16</v>
      </c>
    </row>
    <row r="18" ht="46" customHeight="1" spans="1:15" x14ac:dyDescent="0.25">
      <c r="A18" s="9" t="s">
        <v>1913</v>
      </c>
      <c r="B18" s="10" t="s">
        <v>1836</v>
      </c>
      <c r="C18" s="10" t="s">
        <v>1908</v>
      </c>
      <c r="D18" s="10" t="s">
        <v>1914</v>
      </c>
      <c r="E18" s="11" t="s">
        <v>1915</v>
      </c>
      <c r="F18" s="13" t="s">
        <v>124</v>
      </c>
      <c r="G18" s="10" t="s">
        <v>1916</v>
      </c>
      <c r="H18" s="10" t="s">
        <v>1917</v>
      </c>
      <c r="I18" s="10" t="s">
        <v>139</v>
      </c>
      <c r="J18" s="10" t="s">
        <v>1918</v>
      </c>
      <c r="K18" s="10" t="s">
        <v>16</v>
      </c>
      <c r="L18" s="13" t="s">
        <v>90</v>
      </c>
      <c r="M18" s="10" t="s">
        <v>16</v>
      </c>
      <c r="N18" s="14" t="s">
        <v>16</v>
      </c>
      <c r="O18" s="10" t="s">
        <v>16</v>
      </c>
    </row>
  </sheetData>
  <autoFilter ref="A3:O18"/>
  <mergeCells count="2">
    <mergeCell ref="A1:O1"/>
    <mergeCell ref="A2:O2"/>
  </mergeCells>
  <conditionalFormatting sqref="L4:L18">
    <cfRule type="containsText" dxfId="45" priority="1">
      <formula>NOT(ISERROR(SEARCH("Pass",L4)))</formula>
    </cfRule>
    <cfRule type="containsText" dxfId="46" priority="2">
      <formula>NOT(ISERROR(SEARCH("Fail",L4)))</formula>
    </cfRule>
    <cfRule type="containsText" dxfId="47" priority="3">
      <formula>NOT(ISERROR(SEARCH("Blocked",L4)))</formula>
    </cfRule>
  </conditionalFormatting>
  <dataValidations count="2">
    <dataValidation type="list" showErrorMessage="1" errorTitle="Invalid status" error="Choose: Not Executed, Pass, Fail, Blocked or N/A" sqref="L10:L18">
      <formula1>"Not Executed,Pass,Fail,Blocked,N/A"</formula1>
    </dataValidation>
    <dataValidation type="list" showErrorMessage="1" errorTitle="Invalid status" error="Choose: Not Executed, Pass, Fail, Blocked or N/A" sqref="L4:L18">
      <formula1>"Not Executed,Pass,Fail,Blocked,N/A"</formula1>
    </dataValidation>
  </dataValidation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24"/>
  <sheetViews>
    <sheetView workbookViewId="0" showGridLines="0"/>
  </sheetViews>
  <sheetFormatPr defaultRowHeight="15" outlineLevelRow="0" outlineLevelCol="0" x14ac:dyDescent="55"/>
  <cols>
    <col min="1" max="1" width="3" customWidth="1"/>
    <col min="2" max="2" width="30" customWidth="1"/>
    <col min="3" max="9" width="14" customWidth="1"/>
  </cols>
  <sheetData>
    <row r="2" ht="28" customHeight="1" spans="2:9" x14ac:dyDescent="0.25">
      <c r="B2" s="21" t="s">
        <v>1919</v>
      </c>
      <c r="C2" s="21"/>
      <c r="D2" s="21"/>
      <c r="E2" s="21"/>
      <c r="F2" s="21"/>
      <c r="G2" s="21"/>
      <c r="H2" s="21"/>
      <c r="I2" s="21"/>
    </row>
    <row r="3" spans="2:9" x14ac:dyDescent="0.25">
      <c r="B3" s="22" t="s">
        <v>1920</v>
      </c>
      <c r="C3" s="22"/>
      <c r="D3" s="22"/>
      <c r="E3" s="22"/>
      <c r="F3" s="22"/>
      <c r="G3" s="22"/>
      <c r="H3" s="22"/>
      <c r="I3" s="22"/>
    </row>
    <row r="5" ht="24" customHeight="1" spans="2:9" x14ac:dyDescent="0.25">
      <c r="B5" s="23" t="s">
        <v>66</v>
      </c>
      <c r="C5" s="24" t="s">
        <v>1921</v>
      </c>
      <c r="D5" s="24" t="s">
        <v>1922</v>
      </c>
      <c r="E5" s="24" t="s">
        <v>1923</v>
      </c>
      <c r="F5" s="24" t="s">
        <v>1924</v>
      </c>
      <c r="G5" s="24" t="s">
        <v>90</v>
      </c>
      <c r="H5" s="24" t="s">
        <v>1925</v>
      </c>
      <c r="I5" s="24" t="s">
        <v>1926</v>
      </c>
    </row>
    <row r="6" spans="2:9" x14ac:dyDescent="0.25">
      <c r="B6" s="25" t="s">
        <v>1927</v>
      </c>
      <c r="C6" s="26">
        <v>23</v>
      </c>
      <c r="D6" s="26">
        <f>COUNTIF('Admin Access &amp; Sessions'!$L$4:$L$26,"Pass")</f>
      </c>
      <c r="E6" s="26">
        <f>COUNTIF('Admin Access &amp; Sessions'!$L$4:$L$26,"Fail")</f>
      </c>
      <c r="F6" s="26">
        <f>COUNTIF('Admin Access &amp; Sessions'!$L$4:$L$26,"Blocked")</f>
      </c>
      <c r="G6" s="26">
        <f>COUNTIF('Admin Access &amp; Sessions'!$L$4:$L$26,"Not Executed")</f>
      </c>
      <c r="H6" s="26">
        <f>COUNTIF('Admin Access &amp; Sessions'!$L$4:$L$26,"N/A")</f>
      </c>
      <c r="I6" s="27">
        <f>IF(C6=0,0,D6/C6)</f>
      </c>
    </row>
    <row r="7" spans="2:9" x14ac:dyDescent="0.25">
      <c r="B7" s="25" t="s">
        <v>1928</v>
      </c>
      <c r="C7" s="26">
        <v>23</v>
      </c>
      <c r="D7" s="26">
        <f>COUNTIF('Mini-App Access &amp; Ads'!$L$4:$L$26,"Pass")</f>
      </c>
      <c r="E7" s="26">
        <f>COUNTIF('Mini-App Access &amp; Ads'!$L$4:$L$26,"Fail")</f>
      </c>
      <c r="F7" s="26">
        <f>COUNTIF('Mini-App Access &amp; Ads'!$L$4:$L$26,"Blocked")</f>
      </c>
      <c r="G7" s="26">
        <f>COUNTIF('Mini-App Access &amp; Ads'!$L$4:$L$26,"Not Executed")</f>
      </c>
      <c r="H7" s="26">
        <f>COUNTIF('Mini-App Access &amp; Ads'!$L$4:$L$26,"N/A")</f>
      </c>
      <c r="I7" s="27">
        <f>IF(C7=0,0,D7/C7)</f>
      </c>
    </row>
    <row r="8" spans="2:9" x14ac:dyDescent="0.25">
      <c r="B8" s="25" t="s">
        <v>45</v>
      </c>
      <c r="C8" s="26">
        <v>29</v>
      </c>
      <c r="D8" s="26">
        <f>COUNTIF('Auctions'!$L$4:$L$32,"Pass")</f>
      </c>
      <c r="E8" s="26">
        <f>COUNTIF('Auctions'!$L$4:$L$32,"Fail")</f>
      </c>
      <c r="F8" s="26">
        <f>COUNTIF('Auctions'!$L$4:$L$32,"Blocked")</f>
      </c>
      <c r="G8" s="26">
        <f>COUNTIF('Auctions'!$L$4:$L$32,"Not Executed")</f>
      </c>
      <c r="H8" s="26">
        <f>COUNTIF('Auctions'!$L$4:$L$32,"N/A")</f>
      </c>
      <c r="I8" s="27">
        <f>IF(C8=0,0,D8/C8)</f>
      </c>
    </row>
    <row r="9" spans="2:9" x14ac:dyDescent="0.25">
      <c r="B9" s="25" t="s">
        <v>541</v>
      </c>
      <c r="C9" s="26">
        <v>27</v>
      </c>
      <c r="D9" s="26">
        <f>COUNTIF('Bidding'!$L$4:$L$30,"Pass")</f>
      </c>
      <c r="E9" s="26">
        <f>COUNTIF('Bidding'!$L$4:$L$30,"Fail")</f>
      </c>
      <c r="F9" s="26">
        <f>COUNTIF('Bidding'!$L$4:$L$30,"Blocked")</f>
      </c>
      <c r="G9" s="26">
        <f>COUNTIF('Bidding'!$L$4:$L$30,"Not Executed")</f>
      </c>
      <c r="H9" s="26">
        <f>COUNTIF('Bidding'!$L$4:$L$30,"N/A")</f>
      </c>
      <c r="I9" s="27">
        <f>IF(C9=0,0,D9/C9)</f>
      </c>
    </row>
    <row r="10" spans="2:9" x14ac:dyDescent="0.25">
      <c r="B10" s="25" t="s">
        <v>713</v>
      </c>
      <c r="C10" s="26">
        <v>15</v>
      </c>
      <c r="D10" s="26">
        <f>COUNTIF('Bid Confidentiality'!$L$4:$L$18,"Pass")</f>
      </c>
      <c r="E10" s="26">
        <f>COUNTIF('Bid Confidentiality'!$L$4:$L$18,"Fail")</f>
      </c>
      <c r="F10" s="26">
        <f>COUNTIF('Bid Confidentiality'!$L$4:$L$18,"Blocked")</f>
      </c>
      <c r="G10" s="26">
        <f>COUNTIF('Bid Confidentiality'!$L$4:$L$18,"Not Executed")</f>
      </c>
      <c r="H10" s="26">
        <f>COUNTIF('Bid Confidentiality'!$L$4:$L$18,"N/A")</f>
      </c>
      <c r="I10" s="27">
        <f>IF(C10=0,0,D10/C10)</f>
      </c>
    </row>
    <row r="11" spans="2:9" x14ac:dyDescent="0.25">
      <c r="B11" s="25" t="s">
        <v>804</v>
      </c>
      <c r="C11" s="26">
        <v>21</v>
      </c>
      <c r="D11" s="26">
        <f>COUNTIF('Payments'!$L$4:$L$24,"Pass")</f>
      </c>
      <c r="E11" s="26">
        <f>COUNTIF('Payments'!$L$4:$L$24,"Fail")</f>
      </c>
      <c r="F11" s="26">
        <f>COUNTIF('Payments'!$L$4:$L$24,"Blocked")</f>
      </c>
      <c r="G11" s="26">
        <f>COUNTIF('Payments'!$L$4:$L$24,"Not Executed")</f>
      </c>
      <c r="H11" s="26">
        <f>COUNTIF('Payments'!$L$4:$L$24,"N/A")</f>
      </c>
      <c r="I11" s="27">
        <f>IF(C11=0,0,D11/C11)</f>
      </c>
    </row>
    <row r="12" spans="2:9" x14ac:dyDescent="0.25">
      <c r="B12" s="25" t="s">
        <v>1929</v>
      </c>
      <c r="C12" s="26">
        <v>32</v>
      </c>
      <c r="D12" s="26">
        <f>COUNTIF('Settlement &amp; Winners'!$L$4:$L$35,"Pass")</f>
      </c>
      <c r="E12" s="26">
        <f>COUNTIF('Settlement &amp; Winners'!$L$4:$L$35,"Fail")</f>
      </c>
      <c r="F12" s="26">
        <f>COUNTIF('Settlement &amp; Winners'!$L$4:$L$35,"Blocked")</f>
      </c>
      <c r="G12" s="26">
        <f>COUNTIF('Settlement &amp; Winners'!$L$4:$L$35,"Not Executed")</f>
      </c>
      <c r="H12" s="26">
        <f>COUNTIF('Settlement &amp; Winners'!$L$4:$L$35,"N/A")</f>
      </c>
      <c r="I12" s="27">
        <f>IF(C12=0,0,D12/C12)</f>
      </c>
    </row>
    <row r="13" spans="2:9" x14ac:dyDescent="0.25">
      <c r="B13" s="25" t="s">
        <v>1116</v>
      </c>
      <c r="C13" s="26">
        <v>19</v>
      </c>
      <c r="D13" s="26">
        <f>COUNTIF('Re-Auctions'!$L$4:$L$22,"Pass")</f>
      </c>
      <c r="E13" s="26">
        <f>COUNTIF('Re-Auctions'!$L$4:$L$22,"Fail")</f>
      </c>
      <c r="F13" s="26">
        <f>COUNTIF('Re-Auctions'!$L$4:$L$22,"Blocked")</f>
      </c>
      <c r="G13" s="26">
        <f>COUNTIF('Re-Auctions'!$L$4:$L$22,"Not Executed")</f>
      </c>
      <c r="H13" s="26">
        <f>COUNTIF('Re-Auctions'!$L$4:$L$22,"N/A")</f>
      </c>
      <c r="I13" s="27">
        <f>IF(C13=0,0,D13/C13)</f>
      </c>
    </row>
    <row r="14" spans="2:9" x14ac:dyDescent="0.25">
      <c r="B14" s="25" t="s">
        <v>1226</v>
      </c>
      <c r="C14" s="26">
        <v>22</v>
      </c>
      <c r="D14" s="26">
        <f>COUNTIF('Catalogue &amp; Content'!$L$4:$L$25,"Pass")</f>
      </c>
      <c r="E14" s="26">
        <f>COUNTIF('Catalogue &amp; Content'!$L$4:$L$25,"Fail")</f>
      </c>
      <c r="F14" s="26">
        <f>COUNTIF('Catalogue &amp; Content'!$L$4:$L$25,"Blocked")</f>
      </c>
      <c r="G14" s="26">
        <f>COUNTIF('Catalogue &amp; Content'!$L$4:$L$25,"Not Executed")</f>
      </c>
      <c r="H14" s="26">
        <f>COUNTIF('Catalogue &amp; Content'!$L$4:$L$25,"N/A")</f>
      </c>
      <c r="I14" s="27">
        <f>IF(C14=0,0,D14/C14)</f>
      </c>
    </row>
    <row r="15" spans="2:9" x14ac:dyDescent="0.25">
      <c r="B15" s="25" t="s">
        <v>1353</v>
      </c>
      <c r="C15" s="26">
        <v>12</v>
      </c>
      <c r="D15" s="26">
        <f>COUNTIF('Bidders'!$L$4:$L$15,"Pass")</f>
      </c>
      <c r="E15" s="26">
        <f>COUNTIF('Bidders'!$L$4:$L$15,"Fail")</f>
      </c>
      <c r="F15" s="26">
        <f>COUNTIF('Bidders'!$L$4:$L$15,"Blocked")</f>
      </c>
      <c r="G15" s="26">
        <f>COUNTIF('Bidders'!$L$4:$L$15,"Not Executed")</f>
      </c>
      <c r="H15" s="26">
        <f>COUNTIF('Bidders'!$L$4:$L$15,"N/A")</f>
      </c>
      <c r="I15" s="27">
        <f>IF(C15=0,0,D15/C15)</f>
      </c>
    </row>
    <row r="16" spans="2:9" x14ac:dyDescent="0.25">
      <c r="B16" s="25" t="s">
        <v>1420</v>
      </c>
      <c r="C16" s="26">
        <v>12</v>
      </c>
      <c r="D16" s="26">
        <f>COUNTIF('Approvals'!$L$4:$L$15,"Pass")</f>
      </c>
      <c r="E16" s="26">
        <f>COUNTIF('Approvals'!$L$4:$L$15,"Fail")</f>
      </c>
      <c r="F16" s="26">
        <f>COUNTIF('Approvals'!$L$4:$L$15,"Blocked")</f>
      </c>
      <c r="G16" s="26">
        <f>COUNTIF('Approvals'!$L$4:$L$15,"Not Executed")</f>
      </c>
      <c r="H16" s="26">
        <f>COUNTIF('Approvals'!$L$4:$L$15,"N/A")</f>
      </c>
      <c r="I16" s="27">
        <f>IF(C16=0,0,D16/C16)</f>
      </c>
    </row>
    <row r="17" spans="2:9" x14ac:dyDescent="0.25">
      <c r="B17" s="25" t="s">
        <v>781</v>
      </c>
      <c r="C17" s="26">
        <v>12</v>
      </c>
      <c r="D17" s="26">
        <f>COUNTIF('Notifications'!$L$4:$L$15,"Pass")</f>
      </c>
      <c r="E17" s="26">
        <f>COUNTIF('Notifications'!$L$4:$L$15,"Fail")</f>
      </c>
      <c r="F17" s="26">
        <f>COUNTIF('Notifications'!$L$4:$L$15,"Blocked")</f>
      </c>
      <c r="G17" s="26">
        <f>COUNTIF('Notifications'!$L$4:$L$15,"Not Executed")</f>
      </c>
      <c r="H17" s="26">
        <f>COUNTIF('Notifications'!$L$4:$L$15,"N/A")</f>
      </c>
      <c r="I17" s="27">
        <f>IF(C17=0,0,D17/C17)</f>
      </c>
    </row>
    <row r="18" spans="2:9" x14ac:dyDescent="0.25">
      <c r="B18" s="25" t="s">
        <v>1930</v>
      </c>
      <c r="C18" s="26">
        <v>19</v>
      </c>
      <c r="D18" s="26">
        <f>COUNTIF('Users &amp; Access Control'!$L$4:$L$22,"Pass")</f>
      </c>
      <c r="E18" s="26">
        <f>COUNTIF('Users &amp; Access Control'!$L$4:$L$22,"Fail")</f>
      </c>
      <c r="F18" s="26">
        <f>COUNTIF('Users &amp; Access Control'!$L$4:$L$22,"Blocked")</f>
      </c>
      <c r="G18" s="26">
        <f>COUNTIF('Users &amp; Access Control'!$L$4:$L$22,"Not Executed")</f>
      </c>
      <c r="H18" s="26">
        <f>COUNTIF('Users &amp; Access Control'!$L$4:$L$22,"N/A")</f>
      </c>
      <c r="I18" s="27">
        <f>IF(C18=0,0,D18/C18)</f>
      </c>
    </row>
    <row r="19" spans="2:9" x14ac:dyDescent="0.25">
      <c r="B19" s="25" t="s">
        <v>1652</v>
      </c>
      <c r="C19" s="26">
        <v>16</v>
      </c>
      <c r="D19" s="26">
        <f>COUNTIF('Settings'!$L$4:$L$19,"Pass")</f>
      </c>
      <c r="E19" s="26">
        <f>COUNTIF('Settings'!$L$4:$L$19,"Fail")</f>
      </c>
      <c r="F19" s="26">
        <f>COUNTIF('Settings'!$L$4:$L$19,"Blocked")</f>
      </c>
      <c r="G19" s="26">
        <f>COUNTIF('Settings'!$L$4:$L$19,"Not Executed")</f>
      </c>
      <c r="H19" s="26">
        <f>COUNTIF('Settings'!$L$4:$L$19,"N/A")</f>
      </c>
      <c r="I19" s="27">
        <f>IF(C19=0,0,D19/C19)</f>
      </c>
    </row>
    <row r="20" spans="2:9" x14ac:dyDescent="0.25">
      <c r="B20" s="25" t="s">
        <v>1931</v>
      </c>
      <c r="C20" s="26">
        <v>17</v>
      </c>
      <c r="D20" s="26">
        <f>COUNTIF('Dashboard Reports &amp; Audit'!$L$4:$L$20,"Pass")</f>
      </c>
      <c r="E20" s="26">
        <f>COUNTIF('Dashboard Reports &amp; Audit'!$L$4:$L$20,"Fail")</f>
      </c>
      <c r="F20" s="26">
        <f>COUNTIF('Dashboard Reports &amp; Audit'!$L$4:$L$20,"Blocked")</f>
      </c>
      <c r="G20" s="26">
        <f>COUNTIF('Dashboard Reports &amp; Audit'!$L$4:$L$20,"Not Executed")</f>
      </c>
      <c r="H20" s="26">
        <f>COUNTIF('Dashboard Reports &amp; Audit'!$L$4:$L$20,"N/A")</f>
      </c>
      <c r="I20" s="27">
        <f>IF(C20=0,0,D20/C20)</f>
      </c>
    </row>
    <row r="21" spans="2:9" x14ac:dyDescent="0.25">
      <c r="B21" s="25" t="s">
        <v>1836</v>
      </c>
      <c r="C21" s="26">
        <v>15</v>
      </c>
      <c r="D21" s="26">
        <f>COUNTIF('Scheduled Tick'!$L$4:$L$18,"Pass")</f>
      </c>
      <c r="E21" s="26">
        <f>COUNTIF('Scheduled Tick'!$L$4:$L$18,"Fail")</f>
      </c>
      <c r="F21" s="26">
        <f>COUNTIF('Scheduled Tick'!$L$4:$L$18,"Blocked")</f>
      </c>
      <c r="G21" s="26">
        <f>COUNTIF('Scheduled Tick'!$L$4:$L$18,"Not Executed")</f>
      </c>
      <c r="H21" s="26">
        <f>COUNTIF('Scheduled Tick'!$L$4:$L$18,"N/A")</f>
      </c>
      <c r="I21" s="27">
        <f>IF(C21=0,0,D21/C21)</f>
      </c>
    </row>
    <row r="22" spans="2:9" x14ac:dyDescent="0.25">
      <c r="B22" s="28" t="s">
        <v>1932</v>
      </c>
      <c r="C22" s="29">
        <f>SUM(C6:C21)</f>
      </c>
      <c r="D22" s="29">
        <f>SUM(D6:D21)</f>
      </c>
      <c r="E22" s="29">
        <f>SUM(E6:E21)</f>
      </c>
      <c r="F22" s="29">
        <f>SUM(F6:F21)</f>
      </c>
      <c r="G22" s="29">
        <f>SUM(G6:G21)</f>
      </c>
      <c r="H22" s="29">
        <f>SUM(H6:H21)</f>
      </c>
      <c r="I22" s="30">
        <f>IF(C22=0,0,D22/C22)</f>
      </c>
    </row>
    <row r="24" spans="2:9" x14ac:dyDescent="0.25">
      <c r="B24" s="22" t="s">
        <v>1933</v>
      </c>
      <c r="C24" s="22"/>
      <c r="D24" s="22"/>
      <c r="E24" s="22"/>
      <c r="F24" s="22"/>
      <c r="G24" s="22"/>
      <c r="H24" s="22"/>
      <c r="I24" s="22"/>
    </row>
  </sheetData>
  <mergeCells count="3">
    <mergeCell ref="B2:I2"/>
    <mergeCell ref="B3:I3"/>
    <mergeCell ref="B24:I24"/>
  </mergeCell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3"/>
  <sheetViews>
    <sheetView workbookViewId="0" zoomScale="90">
      <pane ySplit="3" topLeftCell="A4" activePane="bottomLeft" state="frozen"/>
      <selection pane="bottomLeft"/>
    </sheetView>
  </sheetViews>
  <sheetFormatPr defaultRowHeight="15" outlineLevelRow="0" outlineLevelCol="0" x14ac:dyDescent="55"/>
  <cols>
    <col min="1" max="1" width="12" customWidth="1"/>
    <col min="2" max="2" width="16" customWidth="1"/>
    <col min="3" max="3" width="22" customWidth="1"/>
    <col min="4" max="4" width="40" customWidth="1"/>
    <col min="5" max="5" width="46" customWidth="1"/>
    <col min="6" max="7" width="34" customWidth="1"/>
    <col min="8" max="9" width="12" customWidth="1"/>
    <col min="10" max="10" width="14" customWidth="1"/>
    <col min="11" max="11" width="16" customWidth="1"/>
    <col min="12" max="12" width="14" customWidth="1"/>
    <col min="13" max="13" width="16" customWidth="1"/>
    <col min="14" max="14" width="34" customWidth="1"/>
  </cols>
  <sheetData>
    <row r="1" ht="28" customHeight="1" spans="1:14" x14ac:dyDescent="0.25">
      <c r="A1" s="6" t="s">
        <v>1934</v>
      </c>
      <c r="B1" s="6"/>
      <c r="C1" s="6"/>
      <c r="D1" s="6"/>
      <c r="E1" s="6"/>
      <c r="F1" s="6"/>
      <c r="G1" s="6"/>
      <c r="H1" s="6"/>
      <c r="I1" s="6"/>
      <c r="J1" s="6"/>
      <c r="K1" s="6"/>
      <c r="L1" s="6"/>
      <c r="M1" s="6"/>
      <c r="N1" s="6"/>
    </row>
    <row r="2" ht="28" customHeight="1" spans="1:14" x14ac:dyDescent="0.25">
      <c r="A2" s="31" t="s">
        <v>1935</v>
      </c>
      <c r="B2" s="31"/>
      <c r="C2" s="31"/>
      <c r="D2" s="31"/>
      <c r="E2" s="31"/>
      <c r="F2" s="31"/>
      <c r="G2" s="31"/>
      <c r="H2" s="31"/>
      <c r="I2" s="31"/>
      <c r="J2" s="31"/>
      <c r="K2" s="31"/>
      <c r="L2" s="31"/>
      <c r="M2" s="31"/>
      <c r="N2" s="31"/>
    </row>
    <row r="3" ht="28" customHeight="1" spans="1:14" x14ac:dyDescent="0.25">
      <c r="A3" s="8" t="s">
        <v>1936</v>
      </c>
      <c r="B3" s="8" t="s">
        <v>1937</v>
      </c>
      <c r="C3" s="8" t="s">
        <v>66</v>
      </c>
      <c r="D3" s="8" t="s">
        <v>1938</v>
      </c>
      <c r="E3" s="8" t="s">
        <v>1939</v>
      </c>
      <c r="F3" s="8" t="s">
        <v>1940</v>
      </c>
      <c r="G3" s="8" t="s">
        <v>1941</v>
      </c>
      <c r="H3" s="8" t="s">
        <v>1942</v>
      </c>
      <c r="I3" s="8" t="s">
        <v>70</v>
      </c>
      <c r="J3" s="8" t="s">
        <v>76</v>
      </c>
      <c r="K3" s="8" t="s">
        <v>1943</v>
      </c>
      <c r="L3" s="8" t="s">
        <v>1944</v>
      </c>
      <c r="M3" s="8" t="s">
        <v>1945</v>
      </c>
      <c r="N3" s="8" t="s">
        <v>1946</v>
      </c>
    </row>
    <row r="4" ht="30" customHeight="1" spans="1:14" x14ac:dyDescent="0.25">
      <c r="A4" s="10" t="s">
        <v>16</v>
      </c>
      <c r="B4" s="10" t="s">
        <v>16</v>
      </c>
      <c r="C4" s="10" t="s">
        <v>16</v>
      </c>
      <c r="D4" s="10" t="s">
        <v>16</v>
      </c>
      <c r="E4" s="10" t="s">
        <v>16</v>
      </c>
      <c r="F4" s="10" t="s">
        <v>16</v>
      </c>
      <c r="G4" s="10" t="s">
        <v>16</v>
      </c>
      <c r="H4" s="10" t="s">
        <v>16</v>
      </c>
      <c r="I4" s="10" t="s">
        <v>16</v>
      </c>
      <c r="J4" s="10" t="s">
        <v>16</v>
      </c>
      <c r="K4" s="10" t="s">
        <v>16</v>
      </c>
      <c r="L4" s="32" t="s">
        <v>16</v>
      </c>
      <c r="M4" s="10" t="s">
        <v>16</v>
      </c>
      <c r="N4" s="10" t="s">
        <v>16</v>
      </c>
    </row>
    <row r="5" ht="30" customHeight="1" spans="1:14" x14ac:dyDescent="0.25">
      <c r="A5" s="16" t="s">
        <v>16</v>
      </c>
      <c r="B5" s="16" t="s">
        <v>16</v>
      </c>
      <c r="C5" s="16" t="s">
        <v>16</v>
      </c>
      <c r="D5" s="16" t="s">
        <v>16</v>
      </c>
      <c r="E5" s="16" t="s">
        <v>16</v>
      </c>
      <c r="F5" s="16" t="s">
        <v>16</v>
      </c>
      <c r="G5" s="16" t="s">
        <v>16</v>
      </c>
      <c r="H5" s="16" t="s">
        <v>16</v>
      </c>
      <c r="I5" s="16" t="s">
        <v>16</v>
      </c>
      <c r="J5" s="16" t="s">
        <v>16</v>
      </c>
      <c r="K5" s="16" t="s">
        <v>16</v>
      </c>
      <c r="L5" s="33" t="s">
        <v>16</v>
      </c>
      <c r="M5" s="16" t="s">
        <v>16</v>
      </c>
      <c r="N5" s="16" t="s">
        <v>16</v>
      </c>
    </row>
    <row r="6" ht="30" customHeight="1" spans="1:14" x14ac:dyDescent="0.25">
      <c r="A6" s="10" t="s">
        <v>16</v>
      </c>
      <c r="B6" s="10" t="s">
        <v>16</v>
      </c>
      <c r="C6" s="10" t="s">
        <v>16</v>
      </c>
      <c r="D6" s="10" t="s">
        <v>16</v>
      </c>
      <c r="E6" s="10" t="s">
        <v>16</v>
      </c>
      <c r="F6" s="10" t="s">
        <v>16</v>
      </c>
      <c r="G6" s="10" t="s">
        <v>16</v>
      </c>
      <c r="H6" s="10" t="s">
        <v>16</v>
      </c>
      <c r="I6" s="10" t="s">
        <v>16</v>
      </c>
      <c r="J6" s="10" t="s">
        <v>16</v>
      </c>
      <c r="K6" s="10" t="s">
        <v>16</v>
      </c>
      <c r="L6" s="32" t="s">
        <v>16</v>
      </c>
      <c r="M6" s="10" t="s">
        <v>16</v>
      </c>
      <c r="N6" s="10" t="s">
        <v>16</v>
      </c>
    </row>
    <row r="7" ht="30" customHeight="1" spans="1:14" x14ac:dyDescent="0.25">
      <c r="A7" s="16" t="s">
        <v>16</v>
      </c>
      <c r="B7" s="16" t="s">
        <v>16</v>
      </c>
      <c r="C7" s="16" t="s">
        <v>16</v>
      </c>
      <c r="D7" s="16" t="s">
        <v>16</v>
      </c>
      <c r="E7" s="16" t="s">
        <v>16</v>
      </c>
      <c r="F7" s="16" t="s">
        <v>16</v>
      </c>
      <c r="G7" s="16" t="s">
        <v>16</v>
      </c>
      <c r="H7" s="16" t="s">
        <v>16</v>
      </c>
      <c r="I7" s="16" t="s">
        <v>16</v>
      </c>
      <c r="J7" s="16" t="s">
        <v>16</v>
      </c>
      <c r="K7" s="16" t="s">
        <v>16</v>
      </c>
      <c r="L7" s="33" t="s">
        <v>16</v>
      </c>
      <c r="M7" s="16" t="s">
        <v>16</v>
      </c>
      <c r="N7" s="16" t="s">
        <v>16</v>
      </c>
    </row>
    <row r="8" ht="30" customHeight="1" spans="1:14" x14ac:dyDescent="0.25">
      <c r="A8" s="10" t="s">
        <v>16</v>
      </c>
      <c r="B8" s="10" t="s">
        <v>16</v>
      </c>
      <c r="C8" s="10" t="s">
        <v>16</v>
      </c>
      <c r="D8" s="10" t="s">
        <v>16</v>
      </c>
      <c r="E8" s="10" t="s">
        <v>16</v>
      </c>
      <c r="F8" s="10" t="s">
        <v>16</v>
      </c>
      <c r="G8" s="10" t="s">
        <v>16</v>
      </c>
      <c r="H8" s="10" t="s">
        <v>16</v>
      </c>
      <c r="I8" s="10" t="s">
        <v>16</v>
      </c>
      <c r="J8" s="10" t="s">
        <v>16</v>
      </c>
      <c r="K8" s="10" t="s">
        <v>16</v>
      </c>
      <c r="L8" s="32" t="s">
        <v>16</v>
      </c>
      <c r="M8" s="10" t="s">
        <v>16</v>
      </c>
      <c r="N8" s="10" t="s">
        <v>16</v>
      </c>
    </row>
    <row r="9" ht="30" customHeight="1" spans="1:14" x14ac:dyDescent="0.25">
      <c r="A9" s="16" t="s">
        <v>16</v>
      </c>
      <c r="B9" s="16" t="s">
        <v>16</v>
      </c>
      <c r="C9" s="16" t="s">
        <v>16</v>
      </c>
      <c r="D9" s="16" t="s">
        <v>16</v>
      </c>
      <c r="E9" s="16" t="s">
        <v>16</v>
      </c>
      <c r="F9" s="16" t="s">
        <v>16</v>
      </c>
      <c r="G9" s="16" t="s">
        <v>16</v>
      </c>
      <c r="H9" s="16" t="s">
        <v>16</v>
      </c>
      <c r="I9" s="16" t="s">
        <v>16</v>
      </c>
      <c r="J9" s="16" t="s">
        <v>16</v>
      </c>
      <c r="K9" s="16" t="s">
        <v>16</v>
      </c>
      <c r="L9" s="33" t="s">
        <v>16</v>
      </c>
      <c r="M9" s="16" t="s">
        <v>16</v>
      </c>
      <c r="N9" s="16" t="s">
        <v>16</v>
      </c>
    </row>
    <row r="10" ht="30" customHeight="1" spans="1:14" x14ac:dyDescent="0.25">
      <c r="A10" s="10" t="s">
        <v>16</v>
      </c>
      <c r="B10" s="10" t="s">
        <v>16</v>
      </c>
      <c r="C10" s="10" t="s">
        <v>16</v>
      </c>
      <c r="D10" s="10" t="s">
        <v>16</v>
      </c>
      <c r="E10" s="10" t="s">
        <v>16</v>
      </c>
      <c r="F10" s="10" t="s">
        <v>16</v>
      </c>
      <c r="G10" s="10" t="s">
        <v>16</v>
      </c>
      <c r="H10" s="10" t="s">
        <v>16</v>
      </c>
      <c r="I10" s="10" t="s">
        <v>16</v>
      </c>
      <c r="J10" s="10" t="s">
        <v>16</v>
      </c>
      <c r="K10" s="10" t="s">
        <v>16</v>
      </c>
      <c r="L10" s="32" t="s">
        <v>16</v>
      </c>
      <c r="M10" s="10" t="s">
        <v>16</v>
      </c>
      <c r="N10" s="10" t="s">
        <v>16</v>
      </c>
    </row>
    <row r="11" ht="30" customHeight="1" spans="1:14" x14ac:dyDescent="0.25">
      <c r="A11" s="16" t="s">
        <v>16</v>
      </c>
      <c r="B11" s="16" t="s">
        <v>16</v>
      </c>
      <c r="C11" s="16" t="s">
        <v>16</v>
      </c>
      <c r="D11" s="16" t="s">
        <v>16</v>
      </c>
      <c r="E11" s="16" t="s">
        <v>16</v>
      </c>
      <c r="F11" s="16" t="s">
        <v>16</v>
      </c>
      <c r="G11" s="16" t="s">
        <v>16</v>
      </c>
      <c r="H11" s="16" t="s">
        <v>16</v>
      </c>
      <c r="I11" s="16" t="s">
        <v>16</v>
      </c>
      <c r="J11" s="16" t="s">
        <v>16</v>
      </c>
      <c r="K11" s="16" t="s">
        <v>16</v>
      </c>
      <c r="L11" s="33" t="s">
        <v>16</v>
      </c>
      <c r="M11" s="16" t="s">
        <v>16</v>
      </c>
      <c r="N11" s="16" t="s">
        <v>16</v>
      </c>
    </row>
    <row r="12" ht="30" customHeight="1" spans="1:14" x14ac:dyDescent="0.25">
      <c r="A12" s="10" t="s">
        <v>16</v>
      </c>
      <c r="B12" s="10" t="s">
        <v>16</v>
      </c>
      <c r="C12" s="10" t="s">
        <v>16</v>
      </c>
      <c r="D12" s="10" t="s">
        <v>16</v>
      </c>
      <c r="E12" s="10" t="s">
        <v>16</v>
      </c>
      <c r="F12" s="10" t="s">
        <v>16</v>
      </c>
      <c r="G12" s="10" t="s">
        <v>16</v>
      </c>
      <c r="H12" s="10" t="s">
        <v>16</v>
      </c>
      <c r="I12" s="10" t="s">
        <v>16</v>
      </c>
      <c r="J12" s="10" t="s">
        <v>16</v>
      </c>
      <c r="K12" s="10" t="s">
        <v>16</v>
      </c>
      <c r="L12" s="32" t="s">
        <v>16</v>
      </c>
      <c r="M12" s="10" t="s">
        <v>16</v>
      </c>
      <c r="N12" s="10" t="s">
        <v>16</v>
      </c>
    </row>
    <row r="13" ht="30" customHeight="1" spans="1:14" x14ac:dyDescent="0.25">
      <c r="A13" s="16" t="s">
        <v>16</v>
      </c>
      <c r="B13" s="16" t="s">
        <v>16</v>
      </c>
      <c r="C13" s="16" t="s">
        <v>16</v>
      </c>
      <c r="D13" s="16" t="s">
        <v>16</v>
      </c>
      <c r="E13" s="16" t="s">
        <v>16</v>
      </c>
      <c r="F13" s="16" t="s">
        <v>16</v>
      </c>
      <c r="G13" s="16" t="s">
        <v>16</v>
      </c>
      <c r="H13" s="16" t="s">
        <v>16</v>
      </c>
      <c r="I13" s="16" t="s">
        <v>16</v>
      </c>
      <c r="J13" s="16" t="s">
        <v>16</v>
      </c>
      <c r="K13" s="16" t="s">
        <v>16</v>
      </c>
      <c r="L13" s="33" t="s">
        <v>16</v>
      </c>
      <c r="M13" s="16" t="s">
        <v>16</v>
      </c>
      <c r="N13" s="16" t="s">
        <v>16</v>
      </c>
    </row>
    <row r="14" ht="30" customHeight="1" spans="1:14" x14ac:dyDescent="0.25">
      <c r="A14" s="10" t="s">
        <v>16</v>
      </c>
      <c r="B14" s="10" t="s">
        <v>16</v>
      </c>
      <c r="C14" s="10" t="s">
        <v>16</v>
      </c>
      <c r="D14" s="10" t="s">
        <v>16</v>
      </c>
      <c r="E14" s="10" t="s">
        <v>16</v>
      </c>
      <c r="F14" s="10" t="s">
        <v>16</v>
      </c>
      <c r="G14" s="10" t="s">
        <v>16</v>
      </c>
      <c r="H14" s="10" t="s">
        <v>16</v>
      </c>
      <c r="I14" s="10" t="s">
        <v>16</v>
      </c>
      <c r="J14" s="10" t="s">
        <v>16</v>
      </c>
      <c r="K14" s="10" t="s">
        <v>16</v>
      </c>
      <c r="L14" s="32" t="s">
        <v>16</v>
      </c>
      <c r="M14" s="10" t="s">
        <v>16</v>
      </c>
      <c r="N14" s="10" t="s">
        <v>16</v>
      </c>
    </row>
    <row r="15" ht="30" customHeight="1" spans="1:14" x14ac:dyDescent="0.25">
      <c r="A15" s="16" t="s">
        <v>16</v>
      </c>
      <c r="B15" s="16" t="s">
        <v>16</v>
      </c>
      <c r="C15" s="16" t="s">
        <v>16</v>
      </c>
      <c r="D15" s="16" t="s">
        <v>16</v>
      </c>
      <c r="E15" s="16" t="s">
        <v>16</v>
      </c>
      <c r="F15" s="16" t="s">
        <v>16</v>
      </c>
      <c r="G15" s="16" t="s">
        <v>16</v>
      </c>
      <c r="H15" s="16" t="s">
        <v>16</v>
      </c>
      <c r="I15" s="16" t="s">
        <v>16</v>
      </c>
      <c r="J15" s="16" t="s">
        <v>16</v>
      </c>
      <c r="K15" s="16" t="s">
        <v>16</v>
      </c>
      <c r="L15" s="33" t="s">
        <v>16</v>
      </c>
      <c r="M15" s="16" t="s">
        <v>16</v>
      </c>
      <c r="N15" s="16" t="s">
        <v>16</v>
      </c>
    </row>
    <row r="16" ht="30" customHeight="1" spans="1:14" x14ac:dyDescent="0.25">
      <c r="A16" s="10" t="s">
        <v>16</v>
      </c>
      <c r="B16" s="10" t="s">
        <v>16</v>
      </c>
      <c r="C16" s="10" t="s">
        <v>16</v>
      </c>
      <c r="D16" s="10" t="s">
        <v>16</v>
      </c>
      <c r="E16" s="10" t="s">
        <v>16</v>
      </c>
      <c r="F16" s="10" t="s">
        <v>16</v>
      </c>
      <c r="G16" s="10" t="s">
        <v>16</v>
      </c>
      <c r="H16" s="10" t="s">
        <v>16</v>
      </c>
      <c r="I16" s="10" t="s">
        <v>16</v>
      </c>
      <c r="J16" s="10" t="s">
        <v>16</v>
      </c>
      <c r="K16" s="10" t="s">
        <v>16</v>
      </c>
      <c r="L16" s="32" t="s">
        <v>16</v>
      </c>
      <c r="M16" s="10" t="s">
        <v>16</v>
      </c>
      <c r="N16" s="10" t="s">
        <v>16</v>
      </c>
    </row>
    <row r="17" ht="30" customHeight="1" spans="1:14" x14ac:dyDescent="0.25">
      <c r="A17" s="16" t="s">
        <v>16</v>
      </c>
      <c r="B17" s="16" t="s">
        <v>16</v>
      </c>
      <c r="C17" s="16" t="s">
        <v>16</v>
      </c>
      <c r="D17" s="16" t="s">
        <v>16</v>
      </c>
      <c r="E17" s="16" t="s">
        <v>16</v>
      </c>
      <c r="F17" s="16" t="s">
        <v>16</v>
      </c>
      <c r="G17" s="16" t="s">
        <v>16</v>
      </c>
      <c r="H17" s="16" t="s">
        <v>16</v>
      </c>
      <c r="I17" s="16" t="s">
        <v>16</v>
      </c>
      <c r="J17" s="16" t="s">
        <v>16</v>
      </c>
      <c r="K17" s="16" t="s">
        <v>16</v>
      </c>
      <c r="L17" s="33" t="s">
        <v>16</v>
      </c>
      <c r="M17" s="16" t="s">
        <v>16</v>
      </c>
      <c r="N17" s="16" t="s">
        <v>16</v>
      </c>
    </row>
    <row r="18" ht="30" customHeight="1" spans="1:14" x14ac:dyDescent="0.25">
      <c r="A18" s="10" t="s">
        <v>16</v>
      </c>
      <c r="B18" s="10" t="s">
        <v>16</v>
      </c>
      <c r="C18" s="10" t="s">
        <v>16</v>
      </c>
      <c r="D18" s="10" t="s">
        <v>16</v>
      </c>
      <c r="E18" s="10" t="s">
        <v>16</v>
      </c>
      <c r="F18" s="10" t="s">
        <v>16</v>
      </c>
      <c r="G18" s="10" t="s">
        <v>16</v>
      </c>
      <c r="H18" s="10" t="s">
        <v>16</v>
      </c>
      <c r="I18" s="10" t="s">
        <v>16</v>
      </c>
      <c r="J18" s="10" t="s">
        <v>16</v>
      </c>
      <c r="K18" s="10" t="s">
        <v>16</v>
      </c>
      <c r="L18" s="32" t="s">
        <v>16</v>
      </c>
      <c r="M18" s="10" t="s">
        <v>16</v>
      </c>
      <c r="N18" s="10" t="s">
        <v>16</v>
      </c>
    </row>
    <row r="19" ht="30" customHeight="1" spans="1:14" x14ac:dyDescent="0.25">
      <c r="A19" s="16" t="s">
        <v>16</v>
      </c>
      <c r="B19" s="16" t="s">
        <v>16</v>
      </c>
      <c r="C19" s="16" t="s">
        <v>16</v>
      </c>
      <c r="D19" s="16" t="s">
        <v>16</v>
      </c>
      <c r="E19" s="16" t="s">
        <v>16</v>
      </c>
      <c r="F19" s="16" t="s">
        <v>16</v>
      </c>
      <c r="G19" s="16" t="s">
        <v>16</v>
      </c>
      <c r="H19" s="16" t="s">
        <v>16</v>
      </c>
      <c r="I19" s="16" t="s">
        <v>16</v>
      </c>
      <c r="J19" s="16" t="s">
        <v>16</v>
      </c>
      <c r="K19" s="16" t="s">
        <v>16</v>
      </c>
      <c r="L19" s="33" t="s">
        <v>16</v>
      </c>
      <c r="M19" s="16" t="s">
        <v>16</v>
      </c>
      <c r="N19" s="16" t="s">
        <v>16</v>
      </c>
    </row>
    <row r="20" ht="30" customHeight="1" spans="1:14" x14ac:dyDescent="0.25">
      <c r="A20" s="10" t="s">
        <v>16</v>
      </c>
      <c r="B20" s="10" t="s">
        <v>16</v>
      </c>
      <c r="C20" s="10" t="s">
        <v>16</v>
      </c>
      <c r="D20" s="10" t="s">
        <v>16</v>
      </c>
      <c r="E20" s="10" t="s">
        <v>16</v>
      </c>
      <c r="F20" s="10" t="s">
        <v>16</v>
      </c>
      <c r="G20" s="10" t="s">
        <v>16</v>
      </c>
      <c r="H20" s="10" t="s">
        <v>16</v>
      </c>
      <c r="I20" s="10" t="s">
        <v>16</v>
      </c>
      <c r="J20" s="10" t="s">
        <v>16</v>
      </c>
      <c r="K20" s="10" t="s">
        <v>16</v>
      </c>
      <c r="L20" s="32" t="s">
        <v>16</v>
      </c>
      <c r="M20" s="10" t="s">
        <v>16</v>
      </c>
      <c r="N20" s="10" t="s">
        <v>16</v>
      </c>
    </row>
    <row r="21" ht="30" customHeight="1" spans="1:14" x14ac:dyDescent="0.25">
      <c r="A21" s="16" t="s">
        <v>16</v>
      </c>
      <c r="B21" s="16" t="s">
        <v>16</v>
      </c>
      <c r="C21" s="16" t="s">
        <v>16</v>
      </c>
      <c r="D21" s="16" t="s">
        <v>16</v>
      </c>
      <c r="E21" s="16" t="s">
        <v>16</v>
      </c>
      <c r="F21" s="16" t="s">
        <v>16</v>
      </c>
      <c r="G21" s="16" t="s">
        <v>16</v>
      </c>
      <c r="H21" s="16" t="s">
        <v>16</v>
      </c>
      <c r="I21" s="16" t="s">
        <v>16</v>
      </c>
      <c r="J21" s="16" t="s">
        <v>16</v>
      </c>
      <c r="K21" s="16" t="s">
        <v>16</v>
      </c>
      <c r="L21" s="33" t="s">
        <v>16</v>
      </c>
      <c r="M21" s="16" t="s">
        <v>16</v>
      </c>
      <c r="N21" s="16" t="s">
        <v>16</v>
      </c>
    </row>
    <row r="22" ht="30" customHeight="1" spans="1:14" x14ac:dyDescent="0.25">
      <c r="A22" s="10" t="s">
        <v>16</v>
      </c>
      <c r="B22" s="10" t="s">
        <v>16</v>
      </c>
      <c r="C22" s="10" t="s">
        <v>16</v>
      </c>
      <c r="D22" s="10" t="s">
        <v>16</v>
      </c>
      <c r="E22" s="10" t="s">
        <v>16</v>
      </c>
      <c r="F22" s="10" t="s">
        <v>16</v>
      </c>
      <c r="G22" s="10" t="s">
        <v>16</v>
      </c>
      <c r="H22" s="10" t="s">
        <v>16</v>
      </c>
      <c r="I22" s="10" t="s">
        <v>16</v>
      </c>
      <c r="J22" s="10" t="s">
        <v>16</v>
      </c>
      <c r="K22" s="10" t="s">
        <v>16</v>
      </c>
      <c r="L22" s="32" t="s">
        <v>16</v>
      </c>
      <c r="M22" s="10" t="s">
        <v>16</v>
      </c>
      <c r="N22" s="10" t="s">
        <v>16</v>
      </c>
    </row>
    <row r="23" ht="30" customHeight="1" spans="1:14" x14ac:dyDescent="0.25">
      <c r="A23" s="16" t="s">
        <v>16</v>
      </c>
      <c r="B23" s="16" t="s">
        <v>16</v>
      </c>
      <c r="C23" s="16" t="s">
        <v>16</v>
      </c>
      <c r="D23" s="16" t="s">
        <v>16</v>
      </c>
      <c r="E23" s="16" t="s">
        <v>16</v>
      </c>
      <c r="F23" s="16" t="s">
        <v>16</v>
      </c>
      <c r="G23" s="16" t="s">
        <v>16</v>
      </c>
      <c r="H23" s="16" t="s">
        <v>16</v>
      </c>
      <c r="I23" s="16" t="s">
        <v>16</v>
      </c>
      <c r="J23" s="16" t="s">
        <v>16</v>
      </c>
      <c r="K23" s="16" t="s">
        <v>16</v>
      </c>
      <c r="L23" s="33" t="s">
        <v>16</v>
      </c>
      <c r="M23" s="16" t="s">
        <v>16</v>
      </c>
      <c r="N23" s="16" t="s">
        <v>16</v>
      </c>
    </row>
    <row r="24" ht="30" customHeight="1" spans="1:14" x14ac:dyDescent="0.25">
      <c r="A24" s="10" t="s">
        <v>16</v>
      </c>
      <c r="B24" s="10" t="s">
        <v>16</v>
      </c>
      <c r="C24" s="10" t="s">
        <v>16</v>
      </c>
      <c r="D24" s="10" t="s">
        <v>16</v>
      </c>
      <c r="E24" s="10" t="s">
        <v>16</v>
      </c>
      <c r="F24" s="10" t="s">
        <v>16</v>
      </c>
      <c r="G24" s="10" t="s">
        <v>16</v>
      </c>
      <c r="H24" s="10" t="s">
        <v>16</v>
      </c>
      <c r="I24" s="10" t="s">
        <v>16</v>
      </c>
      <c r="J24" s="10" t="s">
        <v>16</v>
      </c>
      <c r="K24" s="10" t="s">
        <v>16</v>
      </c>
      <c r="L24" s="32" t="s">
        <v>16</v>
      </c>
      <c r="M24" s="10" t="s">
        <v>16</v>
      </c>
      <c r="N24" s="10" t="s">
        <v>16</v>
      </c>
    </row>
    <row r="25" ht="30" customHeight="1" spans="1:14" x14ac:dyDescent="0.25">
      <c r="A25" s="16" t="s">
        <v>16</v>
      </c>
      <c r="B25" s="16" t="s">
        <v>16</v>
      </c>
      <c r="C25" s="16" t="s">
        <v>16</v>
      </c>
      <c r="D25" s="16" t="s">
        <v>16</v>
      </c>
      <c r="E25" s="16" t="s">
        <v>16</v>
      </c>
      <c r="F25" s="16" t="s">
        <v>16</v>
      </c>
      <c r="G25" s="16" t="s">
        <v>16</v>
      </c>
      <c r="H25" s="16" t="s">
        <v>16</v>
      </c>
      <c r="I25" s="16" t="s">
        <v>16</v>
      </c>
      <c r="J25" s="16" t="s">
        <v>16</v>
      </c>
      <c r="K25" s="16" t="s">
        <v>16</v>
      </c>
      <c r="L25" s="33" t="s">
        <v>16</v>
      </c>
      <c r="M25" s="16" t="s">
        <v>16</v>
      </c>
      <c r="N25" s="16" t="s">
        <v>16</v>
      </c>
    </row>
    <row r="26" ht="30" customHeight="1" spans="1:14" x14ac:dyDescent="0.25">
      <c r="A26" s="10" t="s">
        <v>16</v>
      </c>
      <c r="B26" s="10" t="s">
        <v>16</v>
      </c>
      <c r="C26" s="10" t="s">
        <v>16</v>
      </c>
      <c r="D26" s="10" t="s">
        <v>16</v>
      </c>
      <c r="E26" s="10" t="s">
        <v>16</v>
      </c>
      <c r="F26" s="10" t="s">
        <v>16</v>
      </c>
      <c r="G26" s="10" t="s">
        <v>16</v>
      </c>
      <c r="H26" s="10" t="s">
        <v>16</v>
      </c>
      <c r="I26" s="10" t="s">
        <v>16</v>
      </c>
      <c r="J26" s="10" t="s">
        <v>16</v>
      </c>
      <c r="K26" s="10" t="s">
        <v>16</v>
      </c>
      <c r="L26" s="32" t="s">
        <v>16</v>
      </c>
      <c r="M26" s="10" t="s">
        <v>16</v>
      </c>
      <c r="N26" s="10" t="s">
        <v>16</v>
      </c>
    </row>
    <row r="27" ht="30" customHeight="1" spans="1:14" x14ac:dyDescent="0.25">
      <c r="A27" s="16" t="s">
        <v>16</v>
      </c>
      <c r="B27" s="16" t="s">
        <v>16</v>
      </c>
      <c r="C27" s="16" t="s">
        <v>16</v>
      </c>
      <c r="D27" s="16" t="s">
        <v>16</v>
      </c>
      <c r="E27" s="16" t="s">
        <v>16</v>
      </c>
      <c r="F27" s="16" t="s">
        <v>16</v>
      </c>
      <c r="G27" s="16" t="s">
        <v>16</v>
      </c>
      <c r="H27" s="16" t="s">
        <v>16</v>
      </c>
      <c r="I27" s="16" t="s">
        <v>16</v>
      </c>
      <c r="J27" s="16" t="s">
        <v>16</v>
      </c>
      <c r="K27" s="16" t="s">
        <v>16</v>
      </c>
      <c r="L27" s="33" t="s">
        <v>16</v>
      </c>
      <c r="M27" s="16" t="s">
        <v>16</v>
      </c>
      <c r="N27" s="16" t="s">
        <v>16</v>
      </c>
    </row>
    <row r="28" ht="30" customHeight="1" spans="1:14" x14ac:dyDescent="0.25">
      <c r="A28" s="10" t="s">
        <v>16</v>
      </c>
      <c r="B28" s="10" t="s">
        <v>16</v>
      </c>
      <c r="C28" s="10" t="s">
        <v>16</v>
      </c>
      <c r="D28" s="10" t="s">
        <v>16</v>
      </c>
      <c r="E28" s="10" t="s">
        <v>16</v>
      </c>
      <c r="F28" s="10" t="s">
        <v>16</v>
      </c>
      <c r="G28" s="10" t="s">
        <v>16</v>
      </c>
      <c r="H28" s="10" t="s">
        <v>16</v>
      </c>
      <c r="I28" s="10" t="s">
        <v>16</v>
      </c>
      <c r="J28" s="10" t="s">
        <v>16</v>
      </c>
      <c r="K28" s="10" t="s">
        <v>16</v>
      </c>
      <c r="L28" s="32" t="s">
        <v>16</v>
      </c>
      <c r="M28" s="10" t="s">
        <v>16</v>
      </c>
      <c r="N28" s="10" t="s">
        <v>16</v>
      </c>
    </row>
    <row r="29" ht="30" customHeight="1" spans="1:14" x14ac:dyDescent="0.25">
      <c r="A29" s="16" t="s">
        <v>16</v>
      </c>
      <c r="B29" s="16" t="s">
        <v>16</v>
      </c>
      <c r="C29" s="16" t="s">
        <v>16</v>
      </c>
      <c r="D29" s="16" t="s">
        <v>16</v>
      </c>
      <c r="E29" s="16" t="s">
        <v>16</v>
      </c>
      <c r="F29" s="16" t="s">
        <v>16</v>
      </c>
      <c r="G29" s="16" t="s">
        <v>16</v>
      </c>
      <c r="H29" s="16" t="s">
        <v>16</v>
      </c>
      <c r="I29" s="16" t="s">
        <v>16</v>
      </c>
      <c r="J29" s="16" t="s">
        <v>16</v>
      </c>
      <c r="K29" s="16" t="s">
        <v>16</v>
      </c>
      <c r="L29" s="33" t="s">
        <v>16</v>
      </c>
      <c r="M29" s="16" t="s">
        <v>16</v>
      </c>
      <c r="N29" s="16" t="s">
        <v>16</v>
      </c>
    </row>
    <row r="30" ht="30" customHeight="1" spans="1:14" x14ac:dyDescent="0.25">
      <c r="A30" s="10" t="s">
        <v>16</v>
      </c>
      <c r="B30" s="10" t="s">
        <v>16</v>
      </c>
      <c r="C30" s="10" t="s">
        <v>16</v>
      </c>
      <c r="D30" s="10" t="s">
        <v>16</v>
      </c>
      <c r="E30" s="10" t="s">
        <v>16</v>
      </c>
      <c r="F30" s="10" t="s">
        <v>16</v>
      </c>
      <c r="G30" s="10" t="s">
        <v>16</v>
      </c>
      <c r="H30" s="10" t="s">
        <v>16</v>
      </c>
      <c r="I30" s="10" t="s">
        <v>16</v>
      </c>
      <c r="J30" s="10" t="s">
        <v>16</v>
      </c>
      <c r="K30" s="10" t="s">
        <v>16</v>
      </c>
      <c r="L30" s="32" t="s">
        <v>16</v>
      </c>
      <c r="M30" s="10" t="s">
        <v>16</v>
      </c>
      <c r="N30" s="10" t="s">
        <v>16</v>
      </c>
    </row>
    <row r="31" ht="30" customHeight="1" spans="1:14" x14ac:dyDescent="0.25">
      <c r="A31" s="16" t="s">
        <v>16</v>
      </c>
      <c r="B31" s="16" t="s">
        <v>16</v>
      </c>
      <c r="C31" s="16" t="s">
        <v>16</v>
      </c>
      <c r="D31" s="16" t="s">
        <v>16</v>
      </c>
      <c r="E31" s="16" t="s">
        <v>16</v>
      </c>
      <c r="F31" s="16" t="s">
        <v>16</v>
      </c>
      <c r="G31" s="16" t="s">
        <v>16</v>
      </c>
      <c r="H31" s="16" t="s">
        <v>16</v>
      </c>
      <c r="I31" s="16" t="s">
        <v>16</v>
      </c>
      <c r="J31" s="16" t="s">
        <v>16</v>
      </c>
      <c r="K31" s="16" t="s">
        <v>16</v>
      </c>
      <c r="L31" s="33" t="s">
        <v>16</v>
      </c>
      <c r="M31" s="16" t="s">
        <v>16</v>
      </c>
      <c r="N31" s="16" t="s">
        <v>16</v>
      </c>
    </row>
    <row r="32" ht="30" customHeight="1" spans="1:14" x14ac:dyDescent="0.25">
      <c r="A32" s="10" t="s">
        <v>16</v>
      </c>
      <c r="B32" s="10" t="s">
        <v>16</v>
      </c>
      <c r="C32" s="10" t="s">
        <v>16</v>
      </c>
      <c r="D32" s="10" t="s">
        <v>16</v>
      </c>
      <c r="E32" s="10" t="s">
        <v>16</v>
      </c>
      <c r="F32" s="10" t="s">
        <v>16</v>
      </c>
      <c r="G32" s="10" t="s">
        <v>16</v>
      </c>
      <c r="H32" s="10" t="s">
        <v>16</v>
      </c>
      <c r="I32" s="10" t="s">
        <v>16</v>
      </c>
      <c r="J32" s="10" t="s">
        <v>16</v>
      </c>
      <c r="K32" s="10" t="s">
        <v>16</v>
      </c>
      <c r="L32" s="32" t="s">
        <v>16</v>
      </c>
      <c r="M32" s="10" t="s">
        <v>16</v>
      </c>
      <c r="N32" s="10" t="s">
        <v>16</v>
      </c>
    </row>
    <row r="33" ht="30" customHeight="1" spans="1:14" x14ac:dyDescent="0.25">
      <c r="A33" s="16" t="s">
        <v>16</v>
      </c>
      <c r="B33" s="16" t="s">
        <v>16</v>
      </c>
      <c r="C33" s="16" t="s">
        <v>16</v>
      </c>
      <c r="D33" s="16" t="s">
        <v>16</v>
      </c>
      <c r="E33" s="16" t="s">
        <v>16</v>
      </c>
      <c r="F33" s="16" t="s">
        <v>16</v>
      </c>
      <c r="G33" s="16" t="s">
        <v>16</v>
      </c>
      <c r="H33" s="16" t="s">
        <v>16</v>
      </c>
      <c r="I33" s="16" t="s">
        <v>16</v>
      </c>
      <c r="J33" s="16" t="s">
        <v>16</v>
      </c>
      <c r="K33" s="16" t="s">
        <v>16</v>
      </c>
      <c r="L33" s="33" t="s">
        <v>16</v>
      </c>
      <c r="M33" s="16" t="s">
        <v>16</v>
      </c>
      <c r="N33" s="16" t="s">
        <v>16</v>
      </c>
    </row>
    <row r="34" ht="30" customHeight="1" spans="1:14" x14ac:dyDescent="0.25">
      <c r="A34" s="10" t="s">
        <v>16</v>
      </c>
      <c r="B34" s="10" t="s">
        <v>16</v>
      </c>
      <c r="C34" s="10" t="s">
        <v>16</v>
      </c>
      <c r="D34" s="10" t="s">
        <v>16</v>
      </c>
      <c r="E34" s="10" t="s">
        <v>16</v>
      </c>
      <c r="F34" s="10" t="s">
        <v>16</v>
      </c>
      <c r="G34" s="10" t="s">
        <v>16</v>
      </c>
      <c r="H34" s="10" t="s">
        <v>16</v>
      </c>
      <c r="I34" s="10" t="s">
        <v>16</v>
      </c>
      <c r="J34" s="10" t="s">
        <v>16</v>
      </c>
      <c r="K34" s="10" t="s">
        <v>16</v>
      </c>
      <c r="L34" s="32" t="s">
        <v>16</v>
      </c>
      <c r="M34" s="10" t="s">
        <v>16</v>
      </c>
      <c r="N34" s="10" t="s">
        <v>16</v>
      </c>
    </row>
    <row r="35" ht="30" customHeight="1" spans="1:14" x14ac:dyDescent="0.25">
      <c r="A35" s="16" t="s">
        <v>16</v>
      </c>
      <c r="B35" s="16" t="s">
        <v>16</v>
      </c>
      <c r="C35" s="16" t="s">
        <v>16</v>
      </c>
      <c r="D35" s="16" t="s">
        <v>16</v>
      </c>
      <c r="E35" s="16" t="s">
        <v>16</v>
      </c>
      <c r="F35" s="16" t="s">
        <v>16</v>
      </c>
      <c r="G35" s="16" t="s">
        <v>16</v>
      </c>
      <c r="H35" s="16" t="s">
        <v>16</v>
      </c>
      <c r="I35" s="16" t="s">
        <v>16</v>
      </c>
      <c r="J35" s="16" t="s">
        <v>16</v>
      </c>
      <c r="K35" s="16" t="s">
        <v>16</v>
      </c>
      <c r="L35" s="33" t="s">
        <v>16</v>
      </c>
      <c r="M35" s="16" t="s">
        <v>16</v>
      </c>
      <c r="N35" s="16" t="s">
        <v>16</v>
      </c>
    </row>
    <row r="36" ht="30" customHeight="1" spans="1:14" x14ac:dyDescent="0.25">
      <c r="A36" s="10" t="s">
        <v>16</v>
      </c>
      <c r="B36" s="10" t="s">
        <v>16</v>
      </c>
      <c r="C36" s="10" t="s">
        <v>16</v>
      </c>
      <c r="D36" s="10" t="s">
        <v>16</v>
      </c>
      <c r="E36" s="10" t="s">
        <v>16</v>
      </c>
      <c r="F36" s="10" t="s">
        <v>16</v>
      </c>
      <c r="G36" s="10" t="s">
        <v>16</v>
      </c>
      <c r="H36" s="10" t="s">
        <v>16</v>
      </c>
      <c r="I36" s="10" t="s">
        <v>16</v>
      </c>
      <c r="J36" s="10" t="s">
        <v>16</v>
      </c>
      <c r="K36" s="10" t="s">
        <v>16</v>
      </c>
      <c r="L36" s="32" t="s">
        <v>16</v>
      </c>
      <c r="M36" s="10" t="s">
        <v>16</v>
      </c>
      <c r="N36" s="10" t="s">
        <v>16</v>
      </c>
    </row>
    <row r="37" ht="30" customHeight="1" spans="1:14" x14ac:dyDescent="0.25">
      <c r="A37" s="16" t="s">
        <v>16</v>
      </c>
      <c r="B37" s="16" t="s">
        <v>16</v>
      </c>
      <c r="C37" s="16" t="s">
        <v>16</v>
      </c>
      <c r="D37" s="16" t="s">
        <v>16</v>
      </c>
      <c r="E37" s="16" t="s">
        <v>16</v>
      </c>
      <c r="F37" s="16" t="s">
        <v>16</v>
      </c>
      <c r="G37" s="16" t="s">
        <v>16</v>
      </c>
      <c r="H37" s="16" t="s">
        <v>16</v>
      </c>
      <c r="I37" s="16" t="s">
        <v>16</v>
      </c>
      <c r="J37" s="16" t="s">
        <v>16</v>
      </c>
      <c r="K37" s="16" t="s">
        <v>16</v>
      </c>
      <c r="L37" s="33" t="s">
        <v>16</v>
      </c>
      <c r="M37" s="16" t="s">
        <v>16</v>
      </c>
      <c r="N37" s="16" t="s">
        <v>16</v>
      </c>
    </row>
    <row r="38" ht="30" customHeight="1" spans="1:14" x14ac:dyDescent="0.25">
      <c r="A38" s="10" t="s">
        <v>16</v>
      </c>
      <c r="B38" s="10" t="s">
        <v>16</v>
      </c>
      <c r="C38" s="10" t="s">
        <v>16</v>
      </c>
      <c r="D38" s="10" t="s">
        <v>16</v>
      </c>
      <c r="E38" s="10" t="s">
        <v>16</v>
      </c>
      <c r="F38" s="10" t="s">
        <v>16</v>
      </c>
      <c r="G38" s="10" t="s">
        <v>16</v>
      </c>
      <c r="H38" s="10" t="s">
        <v>16</v>
      </c>
      <c r="I38" s="10" t="s">
        <v>16</v>
      </c>
      <c r="J38" s="10" t="s">
        <v>16</v>
      </c>
      <c r="K38" s="10" t="s">
        <v>16</v>
      </c>
      <c r="L38" s="32" t="s">
        <v>16</v>
      </c>
      <c r="M38" s="10" t="s">
        <v>16</v>
      </c>
      <c r="N38" s="10" t="s">
        <v>16</v>
      </c>
    </row>
    <row r="39" ht="30" customHeight="1" spans="1:14" x14ac:dyDescent="0.25">
      <c r="A39" s="16" t="s">
        <v>16</v>
      </c>
      <c r="B39" s="16" t="s">
        <v>16</v>
      </c>
      <c r="C39" s="16" t="s">
        <v>16</v>
      </c>
      <c r="D39" s="16" t="s">
        <v>16</v>
      </c>
      <c r="E39" s="16" t="s">
        <v>16</v>
      </c>
      <c r="F39" s="16" t="s">
        <v>16</v>
      </c>
      <c r="G39" s="16" t="s">
        <v>16</v>
      </c>
      <c r="H39" s="16" t="s">
        <v>16</v>
      </c>
      <c r="I39" s="16" t="s">
        <v>16</v>
      </c>
      <c r="J39" s="16" t="s">
        <v>16</v>
      </c>
      <c r="K39" s="16" t="s">
        <v>16</v>
      </c>
      <c r="L39" s="33" t="s">
        <v>16</v>
      </c>
      <c r="M39" s="16" t="s">
        <v>16</v>
      </c>
      <c r="N39" s="16" t="s">
        <v>16</v>
      </c>
    </row>
    <row r="40" ht="30" customHeight="1" spans="1:14" x14ac:dyDescent="0.25">
      <c r="A40" s="10" t="s">
        <v>16</v>
      </c>
      <c r="B40" s="10" t="s">
        <v>16</v>
      </c>
      <c r="C40" s="10" t="s">
        <v>16</v>
      </c>
      <c r="D40" s="10" t="s">
        <v>16</v>
      </c>
      <c r="E40" s="10" t="s">
        <v>16</v>
      </c>
      <c r="F40" s="10" t="s">
        <v>16</v>
      </c>
      <c r="G40" s="10" t="s">
        <v>16</v>
      </c>
      <c r="H40" s="10" t="s">
        <v>16</v>
      </c>
      <c r="I40" s="10" t="s">
        <v>16</v>
      </c>
      <c r="J40" s="10" t="s">
        <v>16</v>
      </c>
      <c r="K40" s="10" t="s">
        <v>16</v>
      </c>
      <c r="L40" s="32" t="s">
        <v>16</v>
      </c>
      <c r="M40" s="10" t="s">
        <v>16</v>
      </c>
      <c r="N40" s="10" t="s">
        <v>16</v>
      </c>
    </row>
    <row r="41" ht="30" customHeight="1" spans="1:14" x14ac:dyDescent="0.25">
      <c r="A41" s="16" t="s">
        <v>16</v>
      </c>
      <c r="B41" s="16" t="s">
        <v>16</v>
      </c>
      <c r="C41" s="16" t="s">
        <v>16</v>
      </c>
      <c r="D41" s="16" t="s">
        <v>16</v>
      </c>
      <c r="E41" s="16" t="s">
        <v>16</v>
      </c>
      <c r="F41" s="16" t="s">
        <v>16</v>
      </c>
      <c r="G41" s="16" t="s">
        <v>16</v>
      </c>
      <c r="H41" s="16" t="s">
        <v>16</v>
      </c>
      <c r="I41" s="16" t="s">
        <v>16</v>
      </c>
      <c r="J41" s="16" t="s">
        <v>16</v>
      </c>
      <c r="K41" s="16" t="s">
        <v>16</v>
      </c>
      <c r="L41" s="33" t="s">
        <v>16</v>
      </c>
      <c r="M41" s="16" t="s">
        <v>16</v>
      </c>
      <c r="N41" s="16" t="s">
        <v>16</v>
      </c>
    </row>
    <row r="42" ht="30" customHeight="1" spans="1:14" x14ac:dyDescent="0.25">
      <c r="A42" s="10" t="s">
        <v>16</v>
      </c>
      <c r="B42" s="10" t="s">
        <v>16</v>
      </c>
      <c r="C42" s="10" t="s">
        <v>16</v>
      </c>
      <c r="D42" s="10" t="s">
        <v>16</v>
      </c>
      <c r="E42" s="10" t="s">
        <v>16</v>
      </c>
      <c r="F42" s="10" t="s">
        <v>16</v>
      </c>
      <c r="G42" s="10" t="s">
        <v>16</v>
      </c>
      <c r="H42" s="10" t="s">
        <v>16</v>
      </c>
      <c r="I42" s="10" t="s">
        <v>16</v>
      </c>
      <c r="J42" s="10" t="s">
        <v>16</v>
      </c>
      <c r="K42" s="10" t="s">
        <v>16</v>
      </c>
      <c r="L42" s="32" t="s">
        <v>16</v>
      </c>
      <c r="M42" s="10" t="s">
        <v>16</v>
      </c>
      <c r="N42" s="10" t="s">
        <v>16</v>
      </c>
    </row>
    <row r="43" ht="30" customHeight="1" spans="1:14" x14ac:dyDescent="0.25">
      <c r="A43" s="16" t="s">
        <v>16</v>
      </c>
      <c r="B43" s="16" t="s">
        <v>16</v>
      </c>
      <c r="C43" s="16" t="s">
        <v>16</v>
      </c>
      <c r="D43" s="16" t="s">
        <v>16</v>
      </c>
      <c r="E43" s="16" t="s">
        <v>16</v>
      </c>
      <c r="F43" s="16" t="s">
        <v>16</v>
      </c>
      <c r="G43" s="16" t="s">
        <v>16</v>
      </c>
      <c r="H43" s="16" t="s">
        <v>16</v>
      </c>
      <c r="I43" s="16" t="s">
        <v>16</v>
      </c>
      <c r="J43" s="16" t="s">
        <v>16</v>
      </c>
      <c r="K43" s="16" t="s">
        <v>16</v>
      </c>
      <c r="L43" s="33" t="s">
        <v>16</v>
      </c>
      <c r="M43" s="16" t="s">
        <v>16</v>
      </c>
      <c r="N43" s="16" t="s">
        <v>16</v>
      </c>
    </row>
    <row r="44" ht="30" customHeight="1" spans="1:14" x14ac:dyDescent="0.25">
      <c r="A44" s="10" t="s">
        <v>16</v>
      </c>
      <c r="B44" s="10" t="s">
        <v>16</v>
      </c>
      <c r="C44" s="10" t="s">
        <v>16</v>
      </c>
      <c r="D44" s="10" t="s">
        <v>16</v>
      </c>
      <c r="E44" s="10" t="s">
        <v>16</v>
      </c>
      <c r="F44" s="10" t="s">
        <v>16</v>
      </c>
      <c r="G44" s="10" t="s">
        <v>16</v>
      </c>
      <c r="H44" s="10" t="s">
        <v>16</v>
      </c>
      <c r="I44" s="10" t="s">
        <v>16</v>
      </c>
      <c r="J44" s="10" t="s">
        <v>16</v>
      </c>
      <c r="K44" s="10" t="s">
        <v>16</v>
      </c>
      <c r="L44" s="32" t="s">
        <v>16</v>
      </c>
      <c r="M44" s="10" t="s">
        <v>16</v>
      </c>
      <c r="N44" s="10" t="s">
        <v>16</v>
      </c>
    </row>
    <row r="45" ht="30" customHeight="1" spans="1:14" x14ac:dyDescent="0.25">
      <c r="A45" s="16" t="s">
        <v>16</v>
      </c>
      <c r="B45" s="16" t="s">
        <v>16</v>
      </c>
      <c r="C45" s="16" t="s">
        <v>16</v>
      </c>
      <c r="D45" s="16" t="s">
        <v>16</v>
      </c>
      <c r="E45" s="16" t="s">
        <v>16</v>
      </c>
      <c r="F45" s="16" t="s">
        <v>16</v>
      </c>
      <c r="G45" s="16" t="s">
        <v>16</v>
      </c>
      <c r="H45" s="16" t="s">
        <v>16</v>
      </c>
      <c r="I45" s="16" t="s">
        <v>16</v>
      </c>
      <c r="J45" s="16" t="s">
        <v>16</v>
      </c>
      <c r="K45" s="16" t="s">
        <v>16</v>
      </c>
      <c r="L45" s="33" t="s">
        <v>16</v>
      </c>
      <c r="M45" s="16" t="s">
        <v>16</v>
      </c>
      <c r="N45" s="16" t="s">
        <v>16</v>
      </c>
    </row>
    <row r="46" ht="30" customHeight="1" spans="1:14" x14ac:dyDescent="0.25">
      <c r="A46" s="10" t="s">
        <v>16</v>
      </c>
      <c r="B46" s="10" t="s">
        <v>16</v>
      </c>
      <c r="C46" s="10" t="s">
        <v>16</v>
      </c>
      <c r="D46" s="10" t="s">
        <v>16</v>
      </c>
      <c r="E46" s="10" t="s">
        <v>16</v>
      </c>
      <c r="F46" s="10" t="s">
        <v>16</v>
      </c>
      <c r="G46" s="10" t="s">
        <v>16</v>
      </c>
      <c r="H46" s="10" t="s">
        <v>16</v>
      </c>
      <c r="I46" s="10" t="s">
        <v>16</v>
      </c>
      <c r="J46" s="10" t="s">
        <v>16</v>
      </c>
      <c r="K46" s="10" t="s">
        <v>16</v>
      </c>
      <c r="L46" s="32" t="s">
        <v>16</v>
      </c>
      <c r="M46" s="10" t="s">
        <v>16</v>
      </c>
      <c r="N46" s="10" t="s">
        <v>16</v>
      </c>
    </row>
    <row r="47" ht="30" customHeight="1" spans="1:14" x14ac:dyDescent="0.25">
      <c r="A47" s="16" t="s">
        <v>16</v>
      </c>
      <c r="B47" s="16" t="s">
        <v>16</v>
      </c>
      <c r="C47" s="16" t="s">
        <v>16</v>
      </c>
      <c r="D47" s="16" t="s">
        <v>16</v>
      </c>
      <c r="E47" s="16" t="s">
        <v>16</v>
      </c>
      <c r="F47" s="16" t="s">
        <v>16</v>
      </c>
      <c r="G47" s="16" t="s">
        <v>16</v>
      </c>
      <c r="H47" s="16" t="s">
        <v>16</v>
      </c>
      <c r="I47" s="16" t="s">
        <v>16</v>
      </c>
      <c r="J47" s="16" t="s">
        <v>16</v>
      </c>
      <c r="K47" s="16" t="s">
        <v>16</v>
      </c>
      <c r="L47" s="33" t="s">
        <v>16</v>
      </c>
      <c r="M47" s="16" t="s">
        <v>16</v>
      </c>
      <c r="N47" s="16" t="s">
        <v>16</v>
      </c>
    </row>
    <row r="48" ht="30" customHeight="1" spans="1:14" x14ac:dyDescent="0.25">
      <c r="A48" s="10" t="s">
        <v>16</v>
      </c>
      <c r="B48" s="10" t="s">
        <v>16</v>
      </c>
      <c r="C48" s="10" t="s">
        <v>16</v>
      </c>
      <c r="D48" s="10" t="s">
        <v>16</v>
      </c>
      <c r="E48" s="10" t="s">
        <v>16</v>
      </c>
      <c r="F48" s="10" t="s">
        <v>16</v>
      </c>
      <c r="G48" s="10" t="s">
        <v>16</v>
      </c>
      <c r="H48" s="10" t="s">
        <v>16</v>
      </c>
      <c r="I48" s="10" t="s">
        <v>16</v>
      </c>
      <c r="J48" s="10" t="s">
        <v>16</v>
      </c>
      <c r="K48" s="10" t="s">
        <v>16</v>
      </c>
      <c r="L48" s="32" t="s">
        <v>16</v>
      </c>
      <c r="M48" s="10" t="s">
        <v>16</v>
      </c>
      <c r="N48" s="10" t="s">
        <v>16</v>
      </c>
    </row>
    <row r="49" ht="30" customHeight="1" spans="1:14" x14ac:dyDescent="0.25">
      <c r="A49" s="16" t="s">
        <v>16</v>
      </c>
      <c r="B49" s="16" t="s">
        <v>16</v>
      </c>
      <c r="C49" s="16" t="s">
        <v>16</v>
      </c>
      <c r="D49" s="16" t="s">
        <v>16</v>
      </c>
      <c r="E49" s="16" t="s">
        <v>16</v>
      </c>
      <c r="F49" s="16" t="s">
        <v>16</v>
      </c>
      <c r="G49" s="16" t="s">
        <v>16</v>
      </c>
      <c r="H49" s="16" t="s">
        <v>16</v>
      </c>
      <c r="I49" s="16" t="s">
        <v>16</v>
      </c>
      <c r="J49" s="16" t="s">
        <v>16</v>
      </c>
      <c r="K49" s="16" t="s">
        <v>16</v>
      </c>
      <c r="L49" s="33" t="s">
        <v>16</v>
      </c>
      <c r="M49" s="16" t="s">
        <v>16</v>
      </c>
      <c r="N49" s="16" t="s">
        <v>16</v>
      </c>
    </row>
    <row r="50" ht="30" customHeight="1" spans="1:14" x14ac:dyDescent="0.25">
      <c r="A50" s="10" t="s">
        <v>16</v>
      </c>
      <c r="B50" s="10" t="s">
        <v>16</v>
      </c>
      <c r="C50" s="10" t="s">
        <v>16</v>
      </c>
      <c r="D50" s="10" t="s">
        <v>16</v>
      </c>
      <c r="E50" s="10" t="s">
        <v>16</v>
      </c>
      <c r="F50" s="10" t="s">
        <v>16</v>
      </c>
      <c r="G50" s="10" t="s">
        <v>16</v>
      </c>
      <c r="H50" s="10" t="s">
        <v>16</v>
      </c>
      <c r="I50" s="10" t="s">
        <v>16</v>
      </c>
      <c r="J50" s="10" t="s">
        <v>16</v>
      </c>
      <c r="K50" s="10" t="s">
        <v>16</v>
      </c>
      <c r="L50" s="32" t="s">
        <v>16</v>
      </c>
      <c r="M50" s="10" t="s">
        <v>16</v>
      </c>
      <c r="N50" s="10" t="s">
        <v>16</v>
      </c>
    </row>
    <row r="51" ht="30" customHeight="1" spans="1:14" x14ac:dyDescent="0.25">
      <c r="A51" s="16" t="s">
        <v>16</v>
      </c>
      <c r="B51" s="16" t="s">
        <v>16</v>
      </c>
      <c r="C51" s="16" t="s">
        <v>16</v>
      </c>
      <c r="D51" s="16" t="s">
        <v>16</v>
      </c>
      <c r="E51" s="16" t="s">
        <v>16</v>
      </c>
      <c r="F51" s="16" t="s">
        <v>16</v>
      </c>
      <c r="G51" s="16" t="s">
        <v>16</v>
      </c>
      <c r="H51" s="16" t="s">
        <v>16</v>
      </c>
      <c r="I51" s="16" t="s">
        <v>16</v>
      </c>
      <c r="J51" s="16" t="s">
        <v>16</v>
      </c>
      <c r="K51" s="16" t="s">
        <v>16</v>
      </c>
      <c r="L51" s="33" t="s">
        <v>16</v>
      </c>
      <c r="M51" s="16" t="s">
        <v>16</v>
      </c>
      <c r="N51" s="16" t="s">
        <v>16</v>
      </c>
    </row>
    <row r="52" ht="30" customHeight="1" spans="1:14" x14ac:dyDescent="0.25">
      <c r="A52" s="10" t="s">
        <v>16</v>
      </c>
      <c r="B52" s="10" t="s">
        <v>16</v>
      </c>
      <c r="C52" s="10" t="s">
        <v>16</v>
      </c>
      <c r="D52" s="10" t="s">
        <v>16</v>
      </c>
      <c r="E52" s="10" t="s">
        <v>16</v>
      </c>
      <c r="F52" s="10" t="s">
        <v>16</v>
      </c>
      <c r="G52" s="10" t="s">
        <v>16</v>
      </c>
      <c r="H52" s="10" t="s">
        <v>16</v>
      </c>
      <c r="I52" s="10" t="s">
        <v>16</v>
      </c>
      <c r="J52" s="10" t="s">
        <v>16</v>
      </c>
      <c r="K52" s="10" t="s">
        <v>16</v>
      </c>
      <c r="L52" s="32" t="s">
        <v>16</v>
      </c>
      <c r="M52" s="10" t="s">
        <v>16</v>
      </c>
      <c r="N52" s="10" t="s">
        <v>16</v>
      </c>
    </row>
    <row r="53" ht="30" customHeight="1" spans="1:14" x14ac:dyDescent="0.25">
      <c r="A53" s="16" t="s">
        <v>16</v>
      </c>
      <c r="B53" s="16" t="s">
        <v>16</v>
      </c>
      <c r="C53" s="16" t="s">
        <v>16</v>
      </c>
      <c r="D53" s="16" t="s">
        <v>16</v>
      </c>
      <c r="E53" s="16" t="s">
        <v>16</v>
      </c>
      <c r="F53" s="16" t="s">
        <v>16</v>
      </c>
      <c r="G53" s="16" t="s">
        <v>16</v>
      </c>
      <c r="H53" s="16" t="s">
        <v>16</v>
      </c>
      <c r="I53" s="16" t="s">
        <v>16</v>
      </c>
      <c r="J53" s="16" t="s">
        <v>16</v>
      </c>
      <c r="K53" s="16" t="s">
        <v>16</v>
      </c>
      <c r="L53" s="33" t="s">
        <v>16</v>
      </c>
      <c r="M53" s="16" t="s">
        <v>16</v>
      </c>
      <c r="N53" s="16" t="s">
        <v>16</v>
      </c>
    </row>
    <row r="54" ht="30" customHeight="1" spans="1:14" x14ac:dyDescent="0.25">
      <c r="A54" s="10" t="s">
        <v>16</v>
      </c>
      <c r="B54" s="10" t="s">
        <v>16</v>
      </c>
      <c r="C54" s="10" t="s">
        <v>16</v>
      </c>
      <c r="D54" s="10" t="s">
        <v>16</v>
      </c>
      <c r="E54" s="10" t="s">
        <v>16</v>
      </c>
      <c r="F54" s="10" t="s">
        <v>16</v>
      </c>
      <c r="G54" s="10" t="s">
        <v>16</v>
      </c>
      <c r="H54" s="10" t="s">
        <v>16</v>
      </c>
      <c r="I54" s="10" t="s">
        <v>16</v>
      </c>
      <c r="J54" s="10" t="s">
        <v>16</v>
      </c>
      <c r="K54" s="10" t="s">
        <v>16</v>
      </c>
      <c r="L54" s="32" t="s">
        <v>16</v>
      </c>
      <c r="M54" s="10" t="s">
        <v>16</v>
      </c>
      <c r="N54" s="10" t="s">
        <v>16</v>
      </c>
    </row>
    <row r="55" ht="30" customHeight="1" spans="1:14" x14ac:dyDescent="0.25">
      <c r="A55" s="16" t="s">
        <v>16</v>
      </c>
      <c r="B55" s="16" t="s">
        <v>16</v>
      </c>
      <c r="C55" s="16" t="s">
        <v>16</v>
      </c>
      <c r="D55" s="16" t="s">
        <v>16</v>
      </c>
      <c r="E55" s="16" t="s">
        <v>16</v>
      </c>
      <c r="F55" s="16" t="s">
        <v>16</v>
      </c>
      <c r="G55" s="16" t="s">
        <v>16</v>
      </c>
      <c r="H55" s="16" t="s">
        <v>16</v>
      </c>
      <c r="I55" s="16" t="s">
        <v>16</v>
      </c>
      <c r="J55" s="16" t="s">
        <v>16</v>
      </c>
      <c r="K55" s="16" t="s">
        <v>16</v>
      </c>
      <c r="L55" s="33" t="s">
        <v>16</v>
      </c>
      <c r="M55" s="16" t="s">
        <v>16</v>
      </c>
      <c r="N55" s="16" t="s">
        <v>16</v>
      </c>
    </row>
    <row r="56" ht="30" customHeight="1" spans="1:14" x14ac:dyDescent="0.25">
      <c r="A56" s="10" t="s">
        <v>16</v>
      </c>
      <c r="B56" s="10" t="s">
        <v>16</v>
      </c>
      <c r="C56" s="10" t="s">
        <v>16</v>
      </c>
      <c r="D56" s="10" t="s">
        <v>16</v>
      </c>
      <c r="E56" s="10" t="s">
        <v>16</v>
      </c>
      <c r="F56" s="10" t="s">
        <v>16</v>
      </c>
      <c r="G56" s="10" t="s">
        <v>16</v>
      </c>
      <c r="H56" s="10" t="s">
        <v>16</v>
      </c>
      <c r="I56" s="10" t="s">
        <v>16</v>
      </c>
      <c r="J56" s="10" t="s">
        <v>16</v>
      </c>
      <c r="K56" s="10" t="s">
        <v>16</v>
      </c>
      <c r="L56" s="32" t="s">
        <v>16</v>
      </c>
      <c r="M56" s="10" t="s">
        <v>16</v>
      </c>
      <c r="N56" s="10" t="s">
        <v>16</v>
      </c>
    </row>
    <row r="57" ht="30" customHeight="1" spans="1:14" x14ac:dyDescent="0.25">
      <c r="A57" s="16" t="s">
        <v>16</v>
      </c>
      <c r="B57" s="16" t="s">
        <v>16</v>
      </c>
      <c r="C57" s="16" t="s">
        <v>16</v>
      </c>
      <c r="D57" s="16" t="s">
        <v>16</v>
      </c>
      <c r="E57" s="16" t="s">
        <v>16</v>
      </c>
      <c r="F57" s="16" t="s">
        <v>16</v>
      </c>
      <c r="G57" s="16" t="s">
        <v>16</v>
      </c>
      <c r="H57" s="16" t="s">
        <v>16</v>
      </c>
      <c r="I57" s="16" t="s">
        <v>16</v>
      </c>
      <c r="J57" s="16" t="s">
        <v>16</v>
      </c>
      <c r="K57" s="16" t="s">
        <v>16</v>
      </c>
      <c r="L57" s="33" t="s">
        <v>16</v>
      </c>
      <c r="M57" s="16" t="s">
        <v>16</v>
      </c>
      <c r="N57" s="16" t="s">
        <v>16</v>
      </c>
    </row>
    <row r="58" ht="30" customHeight="1" spans="1:14" x14ac:dyDescent="0.25">
      <c r="A58" s="10" t="s">
        <v>16</v>
      </c>
      <c r="B58" s="10" t="s">
        <v>16</v>
      </c>
      <c r="C58" s="10" t="s">
        <v>16</v>
      </c>
      <c r="D58" s="10" t="s">
        <v>16</v>
      </c>
      <c r="E58" s="10" t="s">
        <v>16</v>
      </c>
      <c r="F58" s="10" t="s">
        <v>16</v>
      </c>
      <c r="G58" s="10" t="s">
        <v>16</v>
      </c>
      <c r="H58" s="10" t="s">
        <v>16</v>
      </c>
      <c r="I58" s="10" t="s">
        <v>16</v>
      </c>
      <c r="J58" s="10" t="s">
        <v>16</v>
      </c>
      <c r="K58" s="10" t="s">
        <v>16</v>
      </c>
      <c r="L58" s="32" t="s">
        <v>16</v>
      </c>
      <c r="M58" s="10" t="s">
        <v>16</v>
      </c>
      <c r="N58" s="10" t="s">
        <v>16</v>
      </c>
    </row>
    <row r="59" ht="30" customHeight="1" spans="1:14" x14ac:dyDescent="0.25">
      <c r="A59" s="16" t="s">
        <v>16</v>
      </c>
      <c r="B59" s="16" t="s">
        <v>16</v>
      </c>
      <c r="C59" s="16" t="s">
        <v>16</v>
      </c>
      <c r="D59" s="16" t="s">
        <v>16</v>
      </c>
      <c r="E59" s="16" t="s">
        <v>16</v>
      </c>
      <c r="F59" s="16" t="s">
        <v>16</v>
      </c>
      <c r="G59" s="16" t="s">
        <v>16</v>
      </c>
      <c r="H59" s="16" t="s">
        <v>16</v>
      </c>
      <c r="I59" s="16" t="s">
        <v>16</v>
      </c>
      <c r="J59" s="16" t="s">
        <v>16</v>
      </c>
      <c r="K59" s="16" t="s">
        <v>16</v>
      </c>
      <c r="L59" s="33" t="s">
        <v>16</v>
      </c>
      <c r="M59" s="16" t="s">
        <v>16</v>
      </c>
      <c r="N59" s="16" t="s">
        <v>16</v>
      </c>
    </row>
    <row r="60" ht="30" customHeight="1" spans="1:14" x14ac:dyDescent="0.25">
      <c r="A60" s="10" t="s">
        <v>16</v>
      </c>
      <c r="B60" s="10" t="s">
        <v>16</v>
      </c>
      <c r="C60" s="10" t="s">
        <v>16</v>
      </c>
      <c r="D60" s="10" t="s">
        <v>16</v>
      </c>
      <c r="E60" s="10" t="s">
        <v>16</v>
      </c>
      <c r="F60" s="10" t="s">
        <v>16</v>
      </c>
      <c r="G60" s="10" t="s">
        <v>16</v>
      </c>
      <c r="H60" s="10" t="s">
        <v>16</v>
      </c>
      <c r="I60" s="10" t="s">
        <v>16</v>
      </c>
      <c r="J60" s="10" t="s">
        <v>16</v>
      </c>
      <c r="K60" s="10" t="s">
        <v>16</v>
      </c>
      <c r="L60" s="32" t="s">
        <v>16</v>
      </c>
      <c r="M60" s="10" t="s">
        <v>16</v>
      </c>
      <c r="N60" s="10" t="s">
        <v>16</v>
      </c>
    </row>
    <row r="61" ht="30" customHeight="1" spans="1:14" x14ac:dyDescent="0.25">
      <c r="A61" s="16" t="s">
        <v>16</v>
      </c>
      <c r="B61" s="16" t="s">
        <v>16</v>
      </c>
      <c r="C61" s="16" t="s">
        <v>16</v>
      </c>
      <c r="D61" s="16" t="s">
        <v>16</v>
      </c>
      <c r="E61" s="16" t="s">
        <v>16</v>
      </c>
      <c r="F61" s="16" t="s">
        <v>16</v>
      </c>
      <c r="G61" s="16" t="s">
        <v>16</v>
      </c>
      <c r="H61" s="16" t="s">
        <v>16</v>
      </c>
      <c r="I61" s="16" t="s">
        <v>16</v>
      </c>
      <c r="J61" s="16" t="s">
        <v>16</v>
      </c>
      <c r="K61" s="16" t="s">
        <v>16</v>
      </c>
      <c r="L61" s="33" t="s">
        <v>16</v>
      </c>
      <c r="M61" s="16" t="s">
        <v>16</v>
      </c>
      <c r="N61" s="16" t="s">
        <v>16</v>
      </c>
    </row>
    <row r="62" ht="30" customHeight="1" spans="1:14" x14ac:dyDescent="0.25">
      <c r="A62" s="10" t="s">
        <v>16</v>
      </c>
      <c r="B62" s="10" t="s">
        <v>16</v>
      </c>
      <c r="C62" s="10" t="s">
        <v>16</v>
      </c>
      <c r="D62" s="10" t="s">
        <v>16</v>
      </c>
      <c r="E62" s="10" t="s">
        <v>16</v>
      </c>
      <c r="F62" s="10" t="s">
        <v>16</v>
      </c>
      <c r="G62" s="10" t="s">
        <v>16</v>
      </c>
      <c r="H62" s="10" t="s">
        <v>16</v>
      </c>
      <c r="I62" s="10" t="s">
        <v>16</v>
      </c>
      <c r="J62" s="10" t="s">
        <v>16</v>
      </c>
      <c r="K62" s="10" t="s">
        <v>16</v>
      </c>
      <c r="L62" s="32" t="s">
        <v>16</v>
      </c>
      <c r="M62" s="10" t="s">
        <v>16</v>
      </c>
      <c r="N62" s="10" t="s">
        <v>16</v>
      </c>
    </row>
    <row r="63" ht="30" customHeight="1" spans="1:14" x14ac:dyDescent="0.25">
      <c r="A63" s="16" t="s">
        <v>16</v>
      </c>
      <c r="B63" s="16" t="s">
        <v>16</v>
      </c>
      <c r="C63" s="16" t="s">
        <v>16</v>
      </c>
      <c r="D63" s="16" t="s">
        <v>16</v>
      </c>
      <c r="E63" s="16" t="s">
        <v>16</v>
      </c>
      <c r="F63" s="16" t="s">
        <v>16</v>
      </c>
      <c r="G63" s="16" t="s">
        <v>16</v>
      </c>
      <c r="H63" s="16" t="s">
        <v>16</v>
      </c>
      <c r="I63" s="16" t="s">
        <v>16</v>
      </c>
      <c r="J63" s="16" t="s">
        <v>16</v>
      </c>
      <c r="K63" s="16" t="s">
        <v>16</v>
      </c>
      <c r="L63" s="33" t="s">
        <v>16</v>
      </c>
      <c r="M63" s="16" t="s">
        <v>16</v>
      </c>
      <c r="N63" s="16" t="s">
        <v>16</v>
      </c>
    </row>
  </sheetData>
  <autoFilter ref="A3:N63"/>
  <mergeCells count="2">
    <mergeCell ref="A1:N1"/>
    <mergeCell ref="A2:N2"/>
  </mergeCells>
  <dataValidations count="6">
    <dataValidation type="list" allowBlank="1" showErrorMessage="1" errorTitle="Invalid severity" error="Choose: Critical, High, Medium or Low" sqref="H10:H63">
      <formula1>"Critical,High,Medium,Low"</formula1>
    </dataValidation>
    <dataValidation type="list" allowBlank="1" showErrorMessage="1" errorTitle="Invalid severity" error="Choose: Critical, High, Medium or Low" sqref="H4:H63">
      <formula1>"Critical,High,Medium,Low"</formula1>
    </dataValidation>
    <dataValidation type="list" allowBlank="1" showErrorMessage="1" errorTitle="Invalid priority" error="Choose: High, Medium or Low" sqref="I10:I63">
      <formula1>"High,Medium,Low"</formula1>
    </dataValidation>
    <dataValidation type="list" allowBlank="1" showErrorMessage="1" errorTitle="Invalid priority" error="Choose: High, Medium or Low" sqref="I4:I63">
      <formula1>"High,Medium,Low"</formula1>
    </dataValidation>
    <dataValidation type="list" allowBlank="1" showErrorMessage="1" errorTitle="Invalid status" error="Choose: Open, In Progress, Fixed, Retest, Closed, Deferred or Rejected" sqref="J10:J63">
      <formula1>"Open,In Progress,Fixed,Retest,Closed,Deferred,Rejected"</formula1>
    </dataValidation>
    <dataValidation type="list" allowBlank="1" showErrorMessage="1" errorTitle="Invalid status" error="Choose: Open, In Progress, Fixed, Retest, Closed, Deferred or Rejected" sqref="J4:J63">
      <formula1>"Open,In Progress,Fixed,Retest,Closed,Deferred,Rejected"</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Cover &amp; Instructions</vt:lpstr>
      <vt:lpstr>Admin Access &amp; Sessions</vt:lpstr>
      <vt:lpstr>Mini-App Access &amp; Ads</vt:lpstr>
      <vt:lpstr>Auctions</vt:lpstr>
      <vt:lpstr>Bidding</vt:lpstr>
      <vt:lpstr>Bid Confidentiality</vt:lpstr>
      <vt:lpstr>Payments</vt:lpstr>
      <vt:lpstr>Settlement &amp; Winners</vt:lpstr>
      <vt:lpstr>Re-Auctions</vt:lpstr>
      <vt:lpstr>Catalogue &amp; Content</vt:lpstr>
      <vt:lpstr>Bidders</vt:lpstr>
      <vt:lpstr>Approvals</vt:lpstr>
      <vt:lpstr>Notifications</vt:lpstr>
      <vt:lpstr>Users &amp; Access Control</vt:lpstr>
      <vt:lpstr>Settings</vt:lpstr>
      <vt:lpstr>Dashboard Reports &amp; Audit</vt:lpstr>
      <vt:lpstr>Scheduled Tick</vt:lpstr>
      <vt:lpstr>Summary</vt:lpstr>
      <vt:lpstr>Defect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UAT preparation</dc:creator>
  <dc:title/>
  <dc:subject/>
  <dc:description/>
  <cp:keywords/>
  <cp:category/>
  <cp:lastModifiedBy>Unknown</cp:lastModifiedBy>
  <dcterms:created xsi:type="dcterms:W3CDTF">2026-08-17T11:00:31Z</dcterms:created>
  <dcterms:modified xsi:type="dcterms:W3CDTF">2026-08-17T11:00:31Z</dcterms:modified>
</cp:coreProperties>
</file>